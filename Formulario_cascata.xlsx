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857803a4c8bdc240/Dokumente/0-Detran/TR/Painel/"/>
    </mc:Choice>
  </mc:AlternateContent>
  <xr:revisionPtr revIDLastSave="1363" documentId="8_{1ABC2F2F-E795-4630-81E6-C73ED639B81B}" xr6:coauthVersionLast="47" xr6:coauthVersionMax="47" xr10:uidLastSave="{59DAD92E-8641-4307-8CAD-5A28F35D3908}"/>
  <bookViews>
    <workbookView xWindow="7332" yWindow="96" windowWidth="15540" windowHeight="6048" activeTab="2" xr2:uid="{629E1BA9-476E-4EE4-BD56-2392CAE20BB2}"/>
  </bookViews>
  <sheets>
    <sheet name="Instruções" sheetId="2" r:id="rId1"/>
    <sheet name="Resumo" sheetId="3" r:id="rId2"/>
    <sheet name="Todos produtos" sheetId="4" r:id="rId3"/>
    <sheet name="Planilha1" sheetId="1" r:id="rId4"/>
  </sheets>
  <definedNames>
    <definedName name="_xlnm._FilterDatabase" localSheetId="2" hidden="1">'Todos produtos'!$A$2:$AF$367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E367" i="4" l="1"/>
  <c r="AE366" i="4"/>
  <c r="AE365" i="4"/>
  <c r="AE364" i="4"/>
  <c r="AE363" i="4"/>
  <c r="AE362" i="4"/>
  <c r="AE361" i="4"/>
  <c r="AE360" i="4"/>
  <c r="AE359" i="4"/>
  <c r="AE358" i="4"/>
  <c r="AE357" i="4"/>
  <c r="AE356" i="4"/>
  <c r="AE355" i="4"/>
  <c r="AE354" i="4"/>
  <c r="AE353" i="4"/>
  <c r="AE352" i="4"/>
  <c r="AE351" i="4"/>
  <c r="AE350" i="4"/>
  <c r="AE349" i="4"/>
  <c r="AE348" i="4"/>
  <c r="AE347" i="4"/>
  <c r="AE346" i="4"/>
  <c r="AE345" i="4"/>
  <c r="AE344" i="4"/>
  <c r="AE343" i="4"/>
  <c r="AE342" i="4"/>
  <c r="AE341" i="4"/>
  <c r="AE340" i="4"/>
  <c r="AE339" i="4"/>
  <c r="AE338" i="4"/>
  <c r="AE337" i="4"/>
  <c r="AE336" i="4"/>
  <c r="AE335" i="4"/>
  <c r="AE334" i="4"/>
  <c r="AE333" i="4"/>
  <c r="AE332" i="4"/>
  <c r="AE331" i="4"/>
  <c r="AE330" i="4"/>
  <c r="AE329" i="4"/>
  <c r="AE328" i="4"/>
  <c r="AE327" i="4"/>
  <c r="AE326" i="4"/>
  <c r="AE325" i="4"/>
  <c r="AE324" i="4"/>
  <c r="AE323" i="4"/>
  <c r="AE322" i="4"/>
  <c r="AE321" i="4"/>
  <c r="AE320" i="4"/>
  <c r="AE319" i="4"/>
  <c r="AE318" i="4"/>
  <c r="AE317" i="4"/>
  <c r="AE316" i="4"/>
  <c r="AE315" i="4"/>
  <c r="AE314" i="4"/>
  <c r="AE313" i="4"/>
  <c r="AE312" i="4"/>
  <c r="AE311" i="4"/>
  <c r="AE310" i="4"/>
  <c r="AE309" i="4"/>
  <c r="AE308" i="4"/>
  <c r="AE307" i="4"/>
  <c r="AE306" i="4"/>
  <c r="AE305" i="4"/>
  <c r="AE304" i="4"/>
  <c r="AE303" i="4"/>
  <c r="AE302" i="4"/>
  <c r="AE301" i="4"/>
  <c r="AE300" i="4"/>
  <c r="AE299" i="4"/>
  <c r="AE298" i="4"/>
  <c r="AE297" i="4"/>
  <c r="AE296" i="4"/>
  <c r="AE295" i="4"/>
  <c r="AE294" i="4"/>
  <c r="AE293" i="4"/>
  <c r="AE292" i="4"/>
  <c r="AE291" i="4"/>
  <c r="AE290" i="4"/>
  <c r="AE289" i="4"/>
  <c r="AE288" i="4"/>
  <c r="AE287" i="4"/>
  <c r="AE286" i="4"/>
  <c r="AE285" i="4"/>
  <c r="AE284" i="4"/>
  <c r="AE283" i="4"/>
  <c r="AE282" i="4"/>
  <c r="AE281" i="4"/>
  <c r="AE280" i="4"/>
  <c r="AE279" i="4"/>
  <c r="AE278" i="4"/>
  <c r="AE277" i="4"/>
  <c r="AE276" i="4"/>
  <c r="AE275" i="4"/>
  <c r="AE274" i="4"/>
  <c r="AE273" i="4"/>
  <c r="AE272" i="4"/>
  <c r="AE271" i="4"/>
  <c r="AE270" i="4"/>
  <c r="AE269" i="4"/>
  <c r="AE268" i="4"/>
  <c r="AE267" i="4"/>
  <c r="AE266" i="4"/>
  <c r="AE265" i="4"/>
  <c r="AE264" i="4"/>
  <c r="AE263" i="4"/>
  <c r="AE262" i="4"/>
  <c r="AE261" i="4"/>
  <c r="AE260" i="4"/>
  <c r="AE259" i="4"/>
  <c r="AE258" i="4"/>
  <c r="AE257" i="4"/>
  <c r="AE256" i="4"/>
  <c r="AE255" i="4"/>
  <c r="AE254" i="4"/>
  <c r="AE253" i="4"/>
  <c r="AE252" i="4"/>
  <c r="AE251" i="4"/>
  <c r="AE250" i="4"/>
  <c r="AE249" i="4"/>
  <c r="AE248" i="4"/>
  <c r="AE247" i="4"/>
  <c r="AE246" i="4"/>
  <c r="AE245" i="4"/>
  <c r="AE244" i="4"/>
  <c r="AE243" i="4"/>
  <c r="AE242" i="4"/>
  <c r="AE241" i="4"/>
  <c r="AE240" i="4"/>
  <c r="AE239" i="4"/>
  <c r="AE238" i="4"/>
  <c r="AE237" i="4"/>
  <c r="AE236" i="4"/>
  <c r="AE235" i="4"/>
  <c r="AE234" i="4"/>
  <c r="AE233" i="4"/>
  <c r="AE232" i="4"/>
  <c r="AE231" i="4"/>
  <c r="AE230" i="4"/>
  <c r="AE229" i="4"/>
  <c r="AE228" i="4"/>
  <c r="AE227" i="4"/>
  <c r="AE226" i="4"/>
  <c r="AE225" i="4"/>
  <c r="AE224" i="4"/>
  <c r="AE223" i="4"/>
  <c r="AE222" i="4"/>
  <c r="AE221" i="4"/>
  <c r="AE220" i="4"/>
  <c r="AE219" i="4"/>
  <c r="AE218" i="4"/>
  <c r="AE217" i="4"/>
  <c r="AE216" i="4"/>
  <c r="AE215" i="4"/>
  <c r="AE214" i="4"/>
  <c r="AE213" i="4"/>
  <c r="AE212" i="4"/>
  <c r="AE211" i="4"/>
  <c r="AE210" i="4"/>
  <c r="AE209" i="4"/>
  <c r="AE208" i="4"/>
  <c r="AE207" i="4"/>
  <c r="AE206" i="4"/>
  <c r="AE205" i="4"/>
  <c r="AE204" i="4"/>
  <c r="AE203" i="4"/>
  <c r="AE202" i="4"/>
  <c r="AE201" i="4"/>
  <c r="AE200" i="4"/>
  <c r="AE199" i="4"/>
  <c r="AE198" i="4"/>
  <c r="AE197" i="4"/>
  <c r="AE196" i="4"/>
  <c r="AE195" i="4"/>
  <c r="AE194" i="4"/>
  <c r="AE193" i="4"/>
  <c r="AE192" i="4"/>
  <c r="AE191" i="4"/>
  <c r="AE190" i="4"/>
  <c r="AE189" i="4"/>
  <c r="AE188" i="4"/>
  <c r="AE187" i="4"/>
  <c r="AE186" i="4"/>
  <c r="AE185" i="4"/>
  <c r="AE184" i="4"/>
  <c r="AE183" i="4"/>
  <c r="AE182" i="4"/>
  <c r="AE181" i="4"/>
  <c r="AE180" i="4"/>
  <c r="AE179" i="4"/>
  <c r="AE178" i="4"/>
  <c r="AE177" i="4"/>
  <c r="AE176" i="4"/>
  <c r="AE175" i="4"/>
  <c r="AE174" i="4"/>
  <c r="AE173" i="4"/>
  <c r="AE172" i="4"/>
  <c r="AE171" i="4"/>
  <c r="AE170" i="4"/>
  <c r="AE169" i="4"/>
  <c r="AE168" i="4"/>
  <c r="AE167" i="4"/>
  <c r="AE166" i="4"/>
  <c r="AE165" i="4"/>
  <c r="AE164" i="4"/>
  <c r="AE163" i="4"/>
  <c r="AE162" i="4"/>
  <c r="AE161" i="4"/>
  <c r="AE160" i="4"/>
  <c r="AE159" i="4"/>
  <c r="AE158" i="4"/>
  <c r="AE157" i="4"/>
  <c r="AE156" i="4"/>
  <c r="AE155" i="4"/>
  <c r="AE154" i="4"/>
  <c r="AE153" i="4"/>
  <c r="AE152" i="4"/>
  <c r="AE151" i="4"/>
  <c r="AE150" i="4"/>
  <c r="AE149" i="4"/>
  <c r="AE16" i="4"/>
</calcChain>
</file>

<file path=xl/sharedStrings.xml><?xml version="1.0" encoding="utf-8"?>
<sst xmlns="http://schemas.openxmlformats.org/spreadsheetml/2006/main" count="4699" uniqueCount="1517">
  <si>
    <t>ID</t>
  </si>
  <si>
    <t>Status Ficha</t>
  </si>
  <si>
    <t>Link Drive</t>
  </si>
  <si>
    <t>Link Ficha</t>
  </si>
  <si>
    <t>Link One Drive</t>
  </si>
  <si>
    <t>Ação</t>
  </si>
  <si>
    <t>Produto</t>
  </si>
  <si>
    <t>Produto elaborado pelo Detran</t>
  </si>
  <si>
    <t>Descrição e Justificativa</t>
  </si>
  <si>
    <t>Observações gerais</t>
  </si>
  <si>
    <t>Ano referência</t>
  </si>
  <si>
    <t>Valor resultado</t>
  </si>
  <si>
    <t>Obs</t>
  </si>
  <si>
    <t>COMO LER E USAR ESSA PLANILHA</t>
  </si>
  <si>
    <t xml:space="preserve">Esta planilha tem como objetivo manter em um único local todos os produtos enviados ao Painel Pnatrans de modo que se possa ter uma visão geral do status dos produtos, mudanças de produtos etc. </t>
  </si>
  <si>
    <t>Montar a planilha de monitoramento (baseadas nas planilhas de mapeamento e controle do Pnatrans) para o PSV. Informações importantes que constem nessa planilha: Quem é responsável (ponto focal), documento comprobatório, ano de referência, valor do indicador de implementação, efeitos nas metas de implementação, desempenho e impacto, status do produto (em desenvolvimento, finalizado, a fazer)</t>
  </si>
  <si>
    <t>Responsável</t>
  </si>
  <si>
    <t>Evidências
Link</t>
  </si>
  <si>
    <t>Eixo</t>
  </si>
  <si>
    <t>Objetivo Estratégico</t>
  </si>
  <si>
    <t>Produto matriz ação ou novo</t>
  </si>
  <si>
    <t>Resultados - Implementação</t>
  </si>
  <si>
    <t>Indicador de implementação</t>
  </si>
  <si>
    <t>Metas de implementação</t>
  </si>
  <si>
    <t>Metas de desempenho</t>
  </si>
  <si>
    <t>Metas de impacto</t>
  </si>
  <si>
    <t xml:space="preserve">METAS PARCIAIS </t>
  </si>
  <si>
    <t>O.E.</t>
  </si>
  <si>
    <t>AÇÕES</t>
  </si>
  <si>
    <t>PRODUTOS</t>
  </si>
  <si>
    <t>RESPONSÁVEL</t>
  </si>
  <si>
    <t>DETALHAMENTO DE RESPONSÁVEL [descrever diretoria, departamento, área]</t>
  </si>
  <si>
    <t>OUTROS ATORES ENVOLVIDOS</t>
  </si>
  <si>
    <t>INDICADORES</t>
  </si>
  <si>
    <t>META FINAL (2025-2035)</t>
  </si>
  <si>
    <t>2025-2027</t>
  </si>
  <si>
    <t>2028-2030</t>
  </si>
  <si>
    <t>2031-2035</t>
  </si>
  <si>
    <t>FÓRMULA</t>
  </si>
  <si>
    <t>FONTE</t>
  </si>
  <si>
    <t>1.1.1</t>
  </si>
  <si>
    <t>Publicação do regimento interno do Sistran-SP</t>
  </si>
  <si>
    <t>Cetran-SP</t>
  </si>
  <si>
    <t>Seção Regulatória</t>
  </si>
  <si>
    <t>Membros Natos SISTRAN-SP</t>
  </si>
  <si>
    <t>Regimento interno do Sistran-SP publicado</t>
  </si>
  <si>
    <t xml:space="preserve">Revisão do Decreto que institui o Sistran-SP para inserção de todas as Secretarias de Estado como membros natos e alinhamento ao PSV-SP </t>
  </si>
  <si>
    <t>Presidência</t>
  </si>
  <si>
    <t>Decreto do Sistran-SP revisado</t>
  </si>
  <si>
    <t>Elaboração e manutenção de base digital normativa do PSV-SP, correlacionando legislações federais, estaduais e municipais aplicáveis a cada eixo e ação do plano</t>
  </si>
  <si>
    <t>Seção Consultiva</t>
  </si>
  <si>
    <t>Detran-SP</t>
  </si>
  <si>
    <t>Base normativa elaborada</t>
  </si>
  <si>
    <t>N° de atualizações realizadas</t>
  </si>
  <si>
    <t>Número de atualizações realizadas na base normativa</t>
  </si>
  <si>
    <t>Realização periódica de reuniões ordinárias do Sistran-SP</t>
  </si>
  <si>
    <t>N° de reuniões realizadas</t>
  </si>
  <si>
    <t xml:space="preserve">Número de reuniões ordinárias do Sistran-SP realizadas </t>
  </si>
  <si>
    <t>1.1.2</t>
  </si>
  <si>
    <t>Publicação do decreto que institui formalmente o PSV-SP</t>
  </si>
  <si>
    <t>Casa Civil</t>
  </si>
  <si>
    <t>Assessoria Técnica do Governo (ATG)</t>
  </si>
  <si>
    <t>Detran-SP, Cetran-SP</t>
  </si>
  <si>
    <t>Decreto publicado</t>
  </si>
  <si>
    <t>Decreto de instituição do PSV-SP publicado</t>
  </si>
  <si>
    <t>Casa Civil/ Detran-SP</t>
  </si>
  <si>
    <t>Definição oficial do calendário de revisões periódicas (curto, médio e longo prazos), alinhado aos ciclos do PPA e do planejamento estadual</t>
  </si>
  <si>
    <t>Calendário oficial definido e publicado</t>
  </si>
  <si>
    <t>Publicação do calendário oficial</t>
  </si>
  <si>
    <t>Elaboração de relatórios de monitoramento e avaliação de desempenho das ações, produtos e metas do PSV-SP</t>
  </si>
  <si>
    <t>Diretoria de Segurança Viária (DSV)</t>
  </si>
  <si>
    <t>N° de relatórios publicados</t>
  </si>
  <si>
    <t>Número de relatórios de monitoramento e avaliação do PSV publicados</t>
  </si>
  <si>
    <t>Lançamento de portal público para monitoramento e avaliação do PSV-SP, com dados atualizados, relatórios e boas práticas</t>
  </si>
  <si>
    <t>Portal lançado</t>
  </si>
  <si>
    <t>Portal público para monitoramento e avaliação do PSV lançado</t>
  </si>
  <si>
    <t>N° de manutenções realizadas</t>
  </si>
  <si>
    <t>Número de manutenções realizadas no portal</t>
  </si>
  <si>
    <t>Definição de indicadores estratégicos de segurança viária para o Estado, vinculado ao monitoramento do plano</t>
  </si>
  <si>
    <t>Cetran-SP, SGGD</t>
  </si>
  <si>
    <t>Indicadores disponíveis publicamente</t>
  </si>
  <si>
    <t>Número de indicadores publicados</t>
  </si>
  <si>
    <t>N° de atualiações realizadas</t>
  </si>
  <si>
    <t>Número de atualizações realizadas</t>
  </si>
  <si>
    <t>1.1.3</t>
  </si>
  <si>
    <t>Institucionalização do comitê, com designação dos membros e publicação do ato no DOE</t>
  </si>
  <si>
    <t>SGGD</t>
  </si>
  <si>
    <t>Assessoria Especial de Governança</t>
  </si>
  <si>
    <t>Cetran-SP, Detran-SP</t>
  </si>
  <si>
    <t>Comitê instituído</t>
  </si>
  <si>
    <t>Comitê instituido</t>
  </si>
  <si>
    <t>Publicação de regimento interno do comitê, com definição de competências e frequência mínima de reuniões</t>
  </si>
  <si>
    <t>Regimento publicado</t>
  </si>
  <si>
    <t>Realização periódica de reuniões ordinárias e extraordinárias</t>
  </si>
  <si>
    <t>N° de reuniões ordinárias realizadas</t>
  </si>
  <si>
    <t xml:space="preserve">Número de reuniões ordinárias e extraodinárias realizadas </t>
  </si>
  <si>
    <t>1.1.4</t>
  </si>
  <si>
    <t>Inclusão das metas e indicadores de segurança viária nos relatórios de gestão e planos estratégicos do governo estadual</t>
  </si>
  <si>
    <t>Subsecretaria de Articulação e Monitoramento</t>
  </si>
  <si>
    <t>Metas e indicadores incluidos nos instrumentos de governo</t>
  </si>
  <si>
    <t>Número total de metas e indicadores incluidos nos instrumentos de governo</t>
  </si>
  <si>
    <t>Elaboração de matriz de integração entre o PSV-SP e os planos setoriais e regionais, identificando grau de alinhamento, metas e responsabilidades</t>
  </si>
  <si>
    <t>Membros Natos SISTRAN-SP, Cetran-SP</t>
  </si>
  <si>
    <t>Matriz elaborada e atualizada</t>
  </si>
  <si>
    <t>Número de matrizes elaboradas e atualizadas</t>
  </si>
  <si>
    <t>Publicação de nota técnica com recomendações e diretrizes para incorporação de metas de segurança viária nos planos estaduais e municipais</t>
  </si>
  <si>
    <t>SGRI</t>
  </si>
  <si>
    <t>N° de notas técnicas publicada</t>
  </si>
  <si>
    <t>Número de notas técnicas publicadas</t>
  </si>
  <si>
    <t>Realização de reuniões periódicas de alinhamento intersetorial entre órgãos envolvidos no âmbito do Sistran-SP</t>
  </si>
  <si>
    <t>N° de reuniões periódicas realizadas</t>
  </si>
  <si>
    <t>Número de reuniões periódicas realizadas</t>
  </si>
  <si>
    <t>Cetran-SP/ Detran-SP</t>
  </si>
  <si>
    <t>1.1.5</t>
  </si>
  <si>
    <t xml:space="preserve">Estruturação de apoio técnico e articulação territorial em segurança viária pelas Superintendências Regionais do Detran-SP
</t>
  </si>
  <si>
    <t>Superintendências Regionais</t>
  </si>
  <si>
    <t>Órgãos Municipais</t>
  </si>
  <si>
    <t>% de Superintendências com novas funções</t>
  </si>
  <si>
    <t>(Número de Superintendências com novas funções/ Número total de Superintedências)*100</t>
  </si>
  <si>
    <t>Detran-SP/ Superintendências Regionais</t>
  </si>
  <si>
    <t>Elaboração e publicação de guia para orientar a criação e operação de observatórios municipais de segurança viária, integrados metodologicamente ao Observatório Estadual e tecnologicamente ao Infosiga</t>
  </si>
  <si>
    <t>Guia publicado</t>
  </si>
  <si>
    <t xml:space="preserve">Número de publicações do guia </t>
  </si>
  <si>
    <t>Nº de municípios que aderiram ao modelo</t>
  </si>
  <si>
    <t>Número de municípios que aderiram ao guia</t>
  </si>
  <si>
    <t>Participação das autoridades regionais e estaduais nos conselhos municipais de trânsito e transporte</t>
  </si>
  <si>
    <t>Nº de conselhos municipais com participação de autoridades regionais e/ou estaduais</t>
  </si>
  <si>
    <t>Número de autoridades regionais e/ou estaduais participantes nos conselhos municipais</t>
  </si>
  <si>
    <t>1.1.6</t>
  </si>
  <si>
    <t>Publicação anual da Agenda Integrada de Mobilização pela Segurança Viária, no âmbito do Sistran-SP, voltada à mobilização de municípios e órgãos estaduais</t>
  </si>
  <si>
    <t>Membros Natos SISTRAN-SP, Detran-SP</t>
  </si>
  <si>
    <t>Agenda(s) publicada(s)</t>
  </si>
  <si>
    <t>Número de agendas publicadas</t>
  </si>
  <si>
    <t>Nº de municípios que aderiram à agenda</t>
  </si>
  <si>
    <t>Número de municípios que aderiram à agenda</t>
  </si>
  <si>
    <t>1.2.1</t>
  </si>
  <si>
    <t>Proposta técnica concluída e aprovada</t>
  </si>
  <si>
    <t>Módulo criado e integrado ao sistema para consulta pública</t>
  </si>
  <si>
    <t>Matriz publicada</t>
  </si>
  <si>
    <t xml:space="preserve">Matriz de vinculação publicada </t>
  </si>
  <si>
    <t>Número de atualizações realizadas na matriz de vinculação</t>
  </si>
  <si>
    <t>1.2.2</t>
  </si>
  <si>
    <t>Definição e publicação de critérios técnicos de custo-efetividade, impacto em vidas salvas e retorno social para seleção de ações e projetos financiados</t>
  </si>
  <si>
    <t>Critérios técnicos publicados</t>
  </si>
  <si>
    <t>Publicação de critérios técnicos para seleção de ações e projetos financiados</t>
  </si>
  <si>
    <t>Elaboração de editais e convênios com critérios técnicos e de desempenho, incluindo mecanismos de bonificação e prioridade com base em metas de segurança viária</t>
  </si>
  <si>
    <t>SDUH</t>
  </si>
  <si>
    <t>% de chamadas públicas com adoção dos critérios</t>
  </si>
  <si>
    <t>(Número de chamadas públicas com adoção de critérios/ Número total de chamadas públicas)*100</t>
  </si>
  <si>
    <t>Realização de capacitações técnicas para equipes estaduais e municipais sobre gestão de recursos com base em evidências e desempenho</t>
  </si>
  <si>
    <t>N° de capacitações realizadas</t>
  </si>
  <si>
    <t>Número de capacitações técnicas realizadas no período</t>
  </si>
  <si>
    <t>Nº de participantes servidores e/ou gestores municipais</t>
  </si>
  <si>
    <t>Número de participantes nas capacitações técnicas realizadas no período</t>
  </si>
  <si>
    <t>1.2.3</t>
  </si>
  <si>
    <t>Lançamento de plataforma de transparência financeira da segurança viária, integrada ao portal do Sistran-SP</t>
  </si>
  <si>
    <t>SGGD, Detran-SP</t>
  </si>
  <si>
    <t>Plataforma lançada</t>
  </si>
  <si>
    <t>Número de plataformas lançadas no período</t>
  </si>
  <si>
    <t>SGGD/ Detran-SP</t>
  </si>
  <si>
    <t>Número de atualizações realizadas no período</t>
  </si>
  <si>
    <t>Divulgação de dados abertos sobre receitas, despesas, projetos financiados e resultados alcançados em segurança viária</t>
  </si>
  <si>
    <t>Detran-SP, SGGD</t>
  </si>
  <si>
    <t>Base de dados abertos publicada</t>
  </si>
  <si>
    <t>Disponibilização ferramenta de transparência sobre informações locais específicas de segurança viária para o cidadão</t>
  </si>
  <si>
    <t>Diretoria de Atendimento ao Cidadão (DAC)</t>
  </si>
  <si>
    <t>Ferramenta publicada</t>
  </si>
  <si>
    <t>Ferramenta de transparência publicada</t>
  </si>
  <si>
    <t>DAC/ Detran-SP</t>
  </si>
  <si>
    <t>Realização de ações de sensibilização sobre transparência e uso responsável dos recursos destinados à segurança viária</t>
  </si>
  <si>
    <t>Nº de ações de sensibilização realizadas</t>
  </si>
  <si>
    <t>Número de ações de sensibilização realizadas</t>
  </si>
  <si>
    <t>Nº de gestores e cidadãos nas ações de sensibilização</t>
  </si>
  <si>
    <t>Número de pessoas alcançadas nas ações de sensibilização</t>
  </si>
  <si>
    <t>1.3.1</t>
  </si>
  <si>
    <t>Elaboração de diagnóstico das lacunas legais e normativas estaduais e federais relacionadas à segurança viária</t>
  </si>
  <si>
    <t>Diagnóstico publicado</t>
  </si>
  <si>
    <t>Proposição de minutas com recomendações técnicas à Assembleia Legislativa e órgãos federais competentes</t>
  </si>
  <si>
    <t>Nº de minuta(s) enviada(s) à Assembleia Legislativa</t>
  </si>
  <si>
    <t xml:space="preserve">Número de minutas enviadas à assembléia legislativa </t>
  </si>
  <si>
    <t>Sistran-SP</t>
  </si>
  <si>
    <t>Nº de minuta(s) enviada(s) à órgãos federais competentes</t>
  </si>
  <si>
    <t xml:space="preserve">Número de minutas enviadas à órgãos competentes </t>
  </si>
  <si>
    <t>Nº de reuniões técnicas realizadas</t>
  </si>
  <si>
    <t>Número de reuniões realizadas</t>
  </si>
  <si>
    <t>Nº de propostas de revisão normativa formalizadas</t>
  </si>
  <si>
    <t>Propostas de revisão normativa formalizadas</t>
  </si>
  <si>
    <t>Realização de audiências e reuniões técnicas interinstitucionais com legisladores e gestores públicos</t>
  </si>
  <si>
    <t>Nº de audiências e/ou reuniões realizadas</t>
  </si>
  <si>
    <t>Número de audiências e/ou reuniões realizadas</t>
  </si>
  <si>
    <t>Publicação de notas técnicas sobre avanços e desafios normativos no estado</t>
  </si>
  <si>
    <t>Notas técnicas publicadas</t>
  </si>
  <si>
    <t>1.3.2</t>
  </si>
  <si>
    <t>Rede lançada</t>
  </si>
  <si>
    <t>Lançamento da rede paulista pela visão zero</t>
  </si>
  <si>
    <t>Cetran-SP, Membros Natos SISTRAN-SP</t>
  </si>
  <si>
    <t>Seção publicada</t>
  </si>
  <si>
    <t>Seção da Rede Paulista pela Visão Zero publicada</t>
  </si>
  <si>
    <t>Cetran-SP/ Sistran-SP</t>
  </si>
  <si>
    <t>Nº de manutenções realizadas</t>
  </si>
  <si>
    <t xml:space="preserve">Número de manutenções realizadas no portal </t>
  </si>
  <si>
    <t>Apoio técnico aos municípios para elaboração de planos e estratégias locais de segurança viária</t>
  </si>
  <si>
    <t>SDUH, STM, SGRI</t>
  </si>
  <si>
    <t>Nº de municípios com planos e/ou estratégias elaborados</t>
  </si>
  <si>
    <t>Número de municípios om planos e/ou estratégias locais de Segurança Viária elaborados</t>
  </si>
  <si>
    <t>Realização de oficinas regionais e encontros técnicos periódicos de acompanhamento</t>
  </si>
  <si>
    <t>SDUH, STM, SGRI, Cetran-SP</t>
  </si>
  <si>
    <t>Nº de oficinas e encontros técnicos realizados</t>
  </si>
  <si>
    <t>Número de oficinas e encontros técnicos realizados</t>
  </si>
  <si>
    <t>Implementação de incentivos para municípios e órgãos estaduais associados ao desempenho, contemplando todos os eixos de atuação</t>
  </si>
  <si>
    <t>Número de incentivos para municípios e orgãos estaduais implementados</t>
  </si>
  <si>
    <t>1.3.3</t>
  </si>
  <si>
    <r>
      <t xml:space="preserve">Firmar </t>
    </r>
    <r>
      <rPr>
        <b/>
        <sz val="9"/>
        <color theme="1"/>
        <rFont val="Open Sans"/>
        <family val="2"/>
      </rPr>
      <t>parcerias, convênios e acordos de cooperação</t>
    </r>
    <r>
      <rPr>
        <sz val="9"/>
        <color theme="1"/>
        <rFont val="Open Sans"/>
        <family val="2"/>
      </rPr>
      <t xml:space="preserve"> com entidades públicas, privadas e da sociedade civil, nacionais e internacionais, para apoio técnico, institucional ou financeiro às ações de segurança viária</t>
    </r>
  </si>
  <si>
    <t>Indução da formalização de acordos e parcerias firmadas com base em critérios técnicos e de interesse público</t>
  </si>
  <si>
    <t>SGRI, Cetran-SP</t>
  </si>
  <si>
    <t>Nº de acordos e parcerias firmadas</t>
  </si>
  <si>
    <t>Número de acordos e parcerias firmados com base em critérios técnicos e de interesse público</t>
  </si>
  <si>
    <t>Publicação anual de relatório de resultados e impactos das parcerias</t>
  </si>
  <si>
    <t>Membros Natos SISTRAN-SP, SGRI, SDUH</t>
  </si>
  <si>
    <t>Relatório publicado</t>
  </si>
  <si>
    <t>Número de relatórios de resultados e impactos das parcerias publicados</t>
  </si>
  <si>
    <t xml:space="preserve">1.3.4
</t>
  </si>
  <si>
    <t>Elaboração de diretrizes estaduais padronizadas voltadas à adoção de práticas seguras e aplicação da legislação</t>
  </si>
  <si>
    <t>Detran-SP, Órgãos Municipais</t>
  </si>
  <si>
    <t>Diretrizes publicadas</t>
  </si>
  <si>
    <t xml:space="preserve">Diretrizes estadual padronizadas publicados </t>
  </si>
  <si>
    <t>Criação de protocolo estadual de cooperação e intercâmbio de informações com plataformas digitais, prevendo o compartilhamento regular de dados anonimizados, em conformidade com a LGPD</t>
  </si>
  <si>
    <t>Protocolo publicado e executado</t>
  </si>
  <si>
    <t>Protocolo estadual de cooperação e intercâmbio de informações publicado</t>
  </si>
  <si>
    <t>Elaboração de minutas-modelo de regulamentação municipal específicas para proteção de usuários vulneráveis em serviços de transporte</t>
  </si>
  <si>
    <t>SGRI, Detran-SP, Cetran-SP</t>
  </si>
  <si>
    <t>Minuta(s) publicada(s)</t>
  </si>
  <si>
    <t>Número de minutas publicadas</t>
  </si>
  <si>
    <t>Elaboração de nota técnica estadual com propostas de aprimoramento da regulação nacional sobre segurança de condutores e passageiros vinculados a serviços de transporte, a ser encaminhada ao Governo Federal</t>
  </si>
  <si>
    <t>Nota técnica encaminhada</t>
  </si>
  <si>
    <t>Nota técnica elaborada</t>
  </si>
  <si>
    <t>Implementação de projeto-piloto em parceria com empresas de transporte, voltado à redução de sinistros e à avaliação de práticas seguras de condução</t>
  </si>
  <si>
    <t>PGE-SP, Cetran-SP</t>
  </si>
  <si>
    <t>Projeto-piloto implementado</t>
  </si>
  <si>
    <t>Projeto piloto implementado</t>
  </si>
  <si>
    <t>2.1.1</t>
  </si>
  <si>
    <r>
      <t xml:space="preserve">Consolidar o </t>
    </r>
    <r>
      <rPr>
        <b/>
        <sz val="9"/>
        <color theme="1"/>
        <rFont val="Open Sans"/>
        <family val="2"/>
      </rPr>
      <t>Infosiga como sistema de gestão da segurança viária no Estado</t>
    </r>
  </si>
  <si>
    <t>Elaboração e revisão periódica de protocolo de governança Infosiga, estabelecendo instâncias de decisão, responsabilidades, critérios de atualização e segurança dos dados</t>
  </si>
  <si>
    <t>ARTESP, DER-SP, SSP, SES-SP, PRF, Cetran-SP, Órgãos Municipais</t>
  </si>
  <si>
    <t>Protocolo elaborado</t>
  </si>
  <si>
    <t xml:space="preserve"> Protocolo de governança Infosiga elaborado e revisado</t>
  </si>
  <si>
    <t>N° de revisões do protocolo</t>
  </si>
  <si>
    <t>Número de revisões do protocolo de governança</t>
  </si>
  <si>
    <t>Desenvolvimento de módulos temáticos (infraestrutura viária, fiscalização, comunicação e educação) para registro e acompanhamento das ações realizadas por órgãos estaduais e municipais</t>
  </si>
  <si>
    <t>SSP, SDUH, Órgãos Municipais, SECOM, SEDUC-SP, Cetran-SP</t>
  </si>
  <si>
    <t>Módulo de infraestrutura viária desenvolvido</t>
  </si>
  <si>
    <t>Módulo temáticos de infraestrutura desenvolvidos</t>
  </si>
  <si>
    <t>Módulo de fiscalização desenvolvido</t>
  </si>
  <si>
    <t>Módulo temáticos de fiscalização desenvolvidos</t>
  </si>
  <si>
    <t>Módulo de comunicação desenvolvido</t>
  </si>
  <si>
    <t>Módulo temáticos de comunicação desenvolvidos</t>
  </si>
  <si>
    <t>Módulo de educação desenvolvido</t>
  </si>
  <si>
    <t>Módulo temáticos de educação desenvolvidos</t>
  </si>
  <si>
    <t>Desenvolvimento de interface tecnológica para automatizar processos e fluxos de compartilhamento de dados de segurança viária entre sistemas estaduais, federais e municipais</t>
  </si>
  <si>
    <t>SGGD, Cetran-SP</t>
  </si>
  <si>
    <t>Interface desenvolvida</t>
  </si>
  <si>
    <t>Interface tecnológica desenvolvida</t>
  </si>
  <si>
    <t>2.1.2</t>
  </si>
  <si>
    <r>
      <t xml:space="preserve">Criar o </t>
    </r>
    <r>
      <rPr>
        <b/>
        <sz val="9"/>
        <color theme="1"/>
        <rFont val="Open Sans"/>
        <family val="2"/>
      </rPr>
      <t xml:space="preserve">Fórum Estadual de Dados de Segurança Viária </t>
    </r>
    <r>
      <rPr>
        <sz val="9"/>
        <color theme="1"/>
        <rFont val="Open Sans"/>
        <family val="2"/>
      </rPr>
      <t>como instância permanente de gestão da informação</t>
    </r>
  </si>
  <si>
    <t>Instituição do Fórum Estadual de Dados de Segurança Viária como instância permanente de gestão da informação</t>
  </si>
  <si>
    <t>Fórum instituído</t>
  </si>
  <si>
    <t>Fórum Estadual de Dados de Segurança instituído</t>
  </si>
  <si>
    <t>Elaboração de calendário de atividades</t>
  </si>
  <si>
    <t>N° de calendários de atividades elaborados</t>
  </si>
  <si>
    <t>Número de calendários de atividades elaborados</t>
  </si>
  <si>
    <t>Realização de reuniões ordinárias do Fórum</t>
  </si>
  <si>
    <t>Número de reuniões ordinárias realizadas</t>
  </si>
  <si>
    <t>2.1.3</t>
  </si>
  <si>
    <r>
      <t xml:space="preserve">Firmar instrumentos legais para </t>
    </r>
    <r>
      <rPr>
        <b/>
        <sz val="9"/>
        <color theme="1"/>
        <rFont val="Open Sans"/>
        <family val="2"/>
      </rPr>
      <t xml:space="preserve">compartilhamento de dados </t>
    </r>
    <r>
      <rPr>
        <sz val="9"/>
        <color theme="1"/>
        <rFont val="Open Sans"/>
        <family val="2"/>
      </rPr>
      <t xml:space="preserve">entre municípios e outros entes públicos </t>
    </r>
  </si>
  <si>
    <t>Criação de Protocolos Operacionais Padrão (POPs) para formalização do compartilhamento de dados de segurança viária entre órgãos públicos</t>
  </si>
  <si>
    <t>SGGD, Casa Civil, SGRI</t>
  </si>
  <si>
    <t>% de protocolos (POP's) padrão criados</t>
  </si>
  <si>
    <t>Número de Protocolos Operacionais Padrão (POPs) criados</t>
  </si>
  <si>
    <t>Formalização de instrumentos para o compartilhamento e tratamento de dados de segurança viária entre órgãos públicos</t>
  </si>
  <si>
    <t>% de instrumentos formalizados</t>
  </si>
  <si>
    <t>Número de instrumentos formalizados</t>
  </si>
  <si>
    <t>Implementação de incentivos graduais associados à regularidade das informações enviadas</t>
  </si>
  <si>
    <t>Número de incentivos implementados</t>
  </si>
  <si>
    <t>2.1.4</t>
  </si>
  <si>
    <r>
      <t xml:space="preserve">Aprimorar a </t>
    </r>
    <r>
      <rPr>
        <b/>
        <sz val="9"/>
        <color theme="1"/>
        <rFont val="Open Sans"/>
        <family val="2"/>
      </rPr>
      <t xml:space="preserve">coleta e sistematização de dados </t>
    </r>
    <r>
      <rPr>
        <sz val="9"/>
        <color theme="1"/>
        <rFont val="Open Sans"/>
        <family val="2"/>
      </rPr>
      <t>de sinistros de trânsito</t>
    </r>
  </si>
  <si>
    <t>Desenvolvimento e implementação de aplicativo estadual de registro de sinistros de trânsito, a ser usado pelas forças de segurança, órgãos municipais de trânsito</t>
  </si>
  <si>
    <t>DER-SP, PMESP, Órgãos Municipais, PRF, Órgãos Autuadores, ARTESP, ANTT</t>
  </si>
  <si>
    <t>Aplicativo desenvolvido</t>
  </si>
  <si>
    <t>Aplicativo estadual desenvolvido e implementado</t>
  </si>
  <si>
    <t>% de Protocolos Operacionais Padrão (POPs) criados</t>
  </si>
  <si>
    <t>Protocolos Operacionais Padrão (POPs) para uso do aplicativo estadual de registro de sinistros de trânsito (RST) criado</t>
  </si>
  <si>
    <t>Modelo do instrumento normativo criado</t>
  </si>
  <si>
    <t>DER-SP, PMESP</t>
  </si>
  <si>
    <t>Capacitação realizada</t>
  </si>
  <si>
    <t>Capacitação das forças de segurança na coleta de dados de sinistros de trânsito e uso do aplicativo estadual de registro de sinistros de trânsito (RST) realizada</t>
  </si>
  <si>
    <t>Criação de protocolo de acionamento das forças policiais para apoio na investigação de crimes de trânsito</t>
  </si>
  <si>
    <t>SSP</t>
  </si>
  <si>
    <t>Polícia Civil</t>
  </si>
  <si>
    <t>Protocolo publicado e incorporado às rotinas operacionais das forças de segurança</t>
  </si>
  <si>
    <t>Protocolo de acionamento das forças policiais publicado</t>
  </si>
  <si>
    <t>Detran-SP/ Polícia Civil</t>
  </si>
  <si>
    <t>2.1.5</t>
  </si>
  <si>
    <r>
      <rPr>
        <sz val="9"/>
        <color rgb="FF2C2C4D"/>
        <rFont val="Open Sans"/>
        <family val="2"/>
      </rPr>
      <t xml:space="preserve">Fortalecer o </t>
    </r>
    <r>
      <rPr>
        <b/>
        <sz val="9"/>
        <color rgb="FF2C2C4D"/>
        <rFont val="Open Sans"/>
        <family val="2"/>
      </rPr>
      <t>Grupo de Trabalho de Avaliação de Causas Externas</t>
    </r>
    <r>
      <rPr>
        <sz val="9"/>
        <color rgb="FF2C2C4D"/>
        <rFont val="Open Sans"/>
        <family val="2"/>
      </rPr>
      <t>, articulando-o ao Observatório Estadual</t>
    </r>
  </si>
  <si>
    <t>Revisão da composição e do regimento interno do Grupo de Trabalho de Avaliação de Causas Externas</t>
  </si>
  <si>
    <t>SES-SP</t>
  </si>
  <si>
    <t>Centro de Dados e Informações do Sistema de Informação sobre Mortalidade (CDD-SIM)</t>
  </si>
  <si>
    <t>Detran-SP, SSP</t>
  </si>
  <si>
    <t>Revisão realizada</t>
  </si>
  <si>
    <t>Composição e regimento interno revisados</t>
  </si>
  <si>
    <t>Definição de plano de trabalho anual do Grupo de Trabalho de Avaliação de Causas Externas</t>
  </si>
  <si>
    <t>Plano de Trabalho definido</t>
  </si>
  <si>
    <t>Capacitações em análise de dados de causas externas</t>
  </si>
  <si>
    <t>N° de ciclos de capacitações realizados</t>
  </si>
  <si>
    <t>Número de ciclos de capacitações realizados</t>
  </si>
  <si>
    <t>2.2.1</t>
  </si>
  <si>
    <r>
      <t xml:space="preserve">Integrar as </t>
    </r>
    <r>
      <rPr>
        <b/>
        <sz val="9"/>
        <color theme="1"/>
        <rFont val="Open Sans"/>
        <family val="2"/>
      </rPr>
      <t>bases de dados</t>
    </r>
    <r>
      <rPr>
        <sz val="9"/>
        <color theme="1"/>
        <rFont val="Open Sans"/>
        <family val="2"/>
      </rPr>
      <t xml:space="preserve"> relevantes para a gestão da segurança viária ao Infosiga</t>
    </r>
  </si>
  <si>
    <t>Integração dos dados do Registro Nacional de Condutores Habilitados (RENACH), Registro Nacional de Veículos Automotores (RENAVAM) e Registro Nacional de Infrações (RENAINF) aos dados do Infosiga</t>
  </si>
  <si>
    <t>% Dados integrados ao Infosiga</t>
  </si>
  <si>
    <t>(Dados integrados ao Infosiga / Total de dados previstos para integração) * 100</t>
  </si>
  <si>
    <t>Integração dos dados do Sistema de Informações Hospitalares (SIH), Sistema de Informações sobre Mortalidade (SIM) e Sistema de Informações Ambulatoriais (SIA) aos dados do Infosiga</t>
  </si>
  <si>
    <t>Integração dos dados do Sistema MITS, Fluxo de veículos e de Sensores de tráfego da ARTESP aos dados do Infosiga</t>
  </si>
  <si>
    <t>ARTESP</t>
  </si>
  <si>
    <t>Aprimoramento dos bancos de dados dos Atendimentos pelas Unidades Básicas de Atendimento (UBAs), Fluxo de veículos e de Sensores de tráfego do DER-SP visando a interoperabilidade com o Infosiga</t>
  </si>
  <si>
    <t>DER-SP</t>
  </si>
  <si>
    <t>Diretoria de Planejamento (DP)</t>
  </si>
  <si>
    <t>Banco de dados aprimorado</t>
  </si>
  <si>
    <t>Integração dos bancos de dados dos Atendimentos pelas Unidades Básicas de Atendimento (UBAs), Fluxo de veículos, Sensores de tráfego, SIGOR e Sistema Monitora SP do DER aos dados do Infosiga</t>
  </si>
  <si>
    <t>Integração dos dados de esquipamentos de fiscalização de velocidade ao Infosiga</t>
  </si>
  <si>
    <t>Órgãos Autuadores, Cetran-SP</t>
  </si>
  <si>
    <t>Município de São Paulo</t>
  </si>
  <si>
    <t>Integração dos dados dos laudos necroscópicos e toxicológicos do IML aos dados do Infosiga</t>
  </si>
  <si>
    <t>2.2.2</t>
  </si>
  <si>
    <r>
      <t xml:space="preserve">Criar mecanismos para </t>
    </r>
    <r>
      <rPr>
        <b/>
        <sz val="9"/>
        <color theme="1"/>
        <rFont val="Open Sans"/>
        <family val="2"/>
      </rPr>
      <t xml:space="preserve">verificação automatizada da completude e consistência </t>
    </r>
    <r>
      <rPr>
        <sz val="9"/>
        <color theme="1"/>
        <rFont val="Open Sans"/>
        <family val="2"/>
      </rPr>
      <t>dos dados e informações de segurança viária no Infosiga</t>
    </r>
  </si>
  <si>
    <t>Criação de sistema gerencial e alertas da completude e consistência dos dados e informações de segurança viária no Infosiga</t>
  </si>
  <si>
    <t>Sistema criado</t>
  </si>
  <si>
    <t>Sistema gerencial criado</t>
  </si>
  <si>
    <t xml:space="preserve">Criação e implantação de Protocolos Operacionais Padrão (POPs) para resolução das inconformidades identificadas no sistema gerencial de alertas </t>
  </si>
  <si>
    <t>2.3.1</t>
  </si>
  <si>
    <r>
      <t xml:space="preserve">
Divulgar periodicamente </t>
    </r>
    <r>
      <rPr>
        <b/>
        <sz val="9"/>
        <color theme="1"/>
        <rFont val="Open Sans"/>
        <family val="2"/>
      </rPr>
      <t>análises de segurança viária</t>
    </r>
    <r>
      <rPr>
        <sz val="9"/>
        <color theme="1"/>
        <rFont val="Open Sans"/>
        <family val="2"/>
      </rPr>
      <t xml:space="preserve"> para orientar a priorização de intervenções e políticas públicas</t>
    </r>
  </si>
  <si>
    <t>Expansão da quantidade de informações disponibilizadas na base de dados abertos do Infosiga</t>
  </si>
  <si>
    <t>Publicação periódica das informações do total de mortos e feridos no trânsito e das vidas salvas no estado de São Paulo</t>
  </si>
  <si>
    <t>N° de publicações realizadas</t>
  </si>
  <si>
    <t>Número de publicações realizadas</t>
  </si>
  <si>
    <t>Elaboração e publicação do relatório anual de sinistralidade no trânsito do estado de São Paulo</t>
  </si>
  <si>
    <t>N° de publicações do relatório de sinistralidade realizadas</t>
  </si>
  <si>
    <t>Número de publicações do relatório de sinistralidade realizadas</t>
  </si>
  <si>
    <t>Criação de API pública de dados do Infosiga</t>
  </si>
  <si>
    <t>API pública criada</t>
  </si>
  <si>
    <t>API pública de dados do Infosiga criada</t>
  </si>
  <si>
    <t>2.3.2</t>
  </si>
  <si>
    <r>
      <rPr>
        <sz val="9"/>
        <color rgb="FF2C2C4D"/>
        <rFont val="Open Sans"/>
        <family val="2"/>
      </rPr>
      <t xml:space="preserve">Divulgar </t>
    </r>
    <r>
      <rPr>
        <b/>
        <sz val="9"/>
        <color rgb="FF2C2C4D"/>
        <rFont val="Open Sans"/>
        <family val="2"/>
      </rPr>
      <t>periodicamente boletins de acompanhamento</t>
    </r>
    <r>
      <rPr>
        <sz val="9"/>
        <color rgb="FF2C2C4D"/>
        <rFont val="Open Sans"/>
        <family val="2"/>
      </rPr>
      <t xml:space="preserve"> da implementação do PSV-SP e da custo-efetividade dos investimentos estaduais em segurança viária</t>
    </r>
  </si>
  <si>
    <t>Produção e divulgação periódica, atrelada às reuniões do comitê gestor do PSV-SP, do monitoramento da implementação do plano</t>
  </si>
  <si>
    <t>N° de produções e divulgações  realizadas</t>
  </si>
  <si>
    <t>Número de publicações do monitoramento do PSV realizadas</t>
  </si>
  <si>
    <t>Produção e divulgação periódica de estudo de custo-efetividade dos investimentos estaduais em segurança viária, destacando a relação entre investimentos e vidas salvas</t>
  </si>
  <si>
    <t>N° de estudos produzidos e divulgados</t>
  </si>
  <si>
    <t>Número de estudos de custo efetividade dos investimentos divulgados</t>
  </si>
  <si>
    <t>2.3.3</t>
  </si>
  <si>
    <r>
      <t xml:space="preserve">Aplicar e disseminar metodologias de </t>
    </r>
    <r>
      <rPr>
        <b/>
        <sz val="9"/>
        <color theme="1"/>
        <rFont val="Open Sans"/>
        <family val="2"/>
      </rPr>
      <t>avaliação de impacto</t>
    </r>
    <r>
      <rPr>
        <sz val="9"/>
        <color theme="1"/>
        <rFont val="Open Sans"/>
        <family val="2"/>
      </rPr>
      <t xml:space="preserve"> em segurança viária</t>
    </r>
  </si>
  <si>
    <t>Elaboração de manual metodológico de avaliação de impacto de ações para segurança viária, padronizando conceitos, abordagens e indicadores</t>
  </si>
  <si>
    <t>Manual elaborado</t>
  </si>
  <si>
    <t>Número de manuais elaborados</t>
  </si>
  <si>
    <t>Elaboração e divulgação periódica dos estudos de avaliação de impacto em repositório digital em código aberto com publicação integral dos estudos, metodologias e bases de referência e recomendações de políticas</t>
  </si>
  <si>
    <t>N° de estudos elaborados e divulgados</t>
  </si>
  <si>
    <t>Número de estudos de avaliação de impacto divulgados</t>
  </si>
  <si>
    <t>Criação de painel de monitoramento de impacto de ações para segurança viária integrado ao Infosiga</t>
  </si>
  <si>
    <t>Painel criado</t>
  </si>
  <si>
    <t>Painel de monitoramento de impacto de ações para segurança viária integrado ao Infosiga</t>
  </si>
  <si>
    <t>Capacitação técnica periódica em avaliação de impacto, voltada a gestores públicos e parceiros institucionais</t>
  </si>
  <si>
    <t>N° de capacitações técnicas realizadas</t>
  </si>
  <si>
    <t>Número de capacitações técnicas realizadas</t>
  </si>
  <si>
    <t>2.3.4</t>
  </si>
  <si>
    <r>
      <t xml:space="preserve">Promover a </t>
    </r>
    <r>
      <rPr>
        <b/>
        <sz val="9"/>
        <color theme="1"/>
        <rFont val="Open Sans"/>
        <family val="2"/>
      </rPr>
      <t>capacitação continuada</t>
    </r>
    <r>
      <rPr>
        <sz val="9"/>
        <color theme="1"/>
        <rFont val="Open Sans"/>
        <family val="2"/>
      </rPr>
      <t xml:space="preserve"> em análise e gestão da informação</t>
    </r>
  </si>
  <si>
    <t>Elaboração de calendário anual de capacitação, incluindo as temáticas de análise de dados, proteção de dados e governanaça de dados</t>
  </si>
  <si>
    <t>N° de calendários criados</t>
  </si>
  <si>
    <t>Número de calendários criados</t>
  </si>
  <si>
    <t>Número de convênios formalizados</t>
  </si>
  <si>
    <t>2.3.5</t>
  </si>
  <si>
    <r>
      <t xml:space="preserve">Implantar </t>
    </r>
    <r>
      <rPr>
        <b/>
        <sz val="9"/>
        <color theme="1"/>
        <rFont val="Open Sans"/>
        <family val="2"/>
      </rPr>
      <t>sistemas automáticos de monitoramento de tráfego</t>
    </r>
    <r>
      <rPr>
        <sz val="9"/>
        <color theme="1"/>
        <rFont val="Open Sans"/>
        <family val="2"/>
      </rPr>
      <t xml:space="preserve"> das rodovias estaduais</t>
    </r>
  </si>
  <si>
    <t>Aquisição e instalação de medidores automáticos de tráfego</t>
  </si>
  <si>
    <t>Diretoria de Operações Viárias (DV)</t>
  </si>
  <si>
    <t>% Medidores adquiridos e instalados</t>
  </si>
  <si>
    <t>(Número de medidores instalados/ Número total de medidores previstos) *100</t>
  </si>
  <si>
    <t>Elaboração de diagnóstico de exposição ao risco em rodovias estaduais</t>
  </si>
  <si>
    <t>N° de relatórios elaborados</t>
  </si>
  <si>
    <t>Número de relatórios de diagnóstico de exposição ao risco elaborados</t>
  </si>
  <si>
    <t xml:space="preserve">Elaboração de análises preditivas de sinistros a partir dos dados obtidos com os medidores de tráfego </t>
  </si>
  <si>
    <t>100% das análises elaboradas</t>
  </si>
  <si>
    <t>(Número de análises preditivas elaboradas / Número total de análises previstas) * 100</t>
  </si>
  <si>
    <t>Criação de painel interativo de tráfego com visualização integrada de fluxo veicular, velocidade e risco de ocorrência de sinistros</t>
  </si>
  <si>
    <t>Painel interativo de tráfego criado</t>
  </si>
  <si>
    <t>Capacitação técnica em análise preditiva de sinistros a partir de dados de tráfego rodoviário</t>
  </si>
  <si>
    <t>Capacitação técnica em análise preditiva de sinistros realizada</t>
  </si>
  <si>
    <t>3.1.1</t>
  </si>
  <si>
    <r>
      <t xml:space="preserve">Desenvolver </t>
    </r>
    <r>
      <rPr>
        <b/>
        <sz val="9"/>
        <color theme="1"/>
        <rFont val="Open Sans"/>
        <family val="2"/>
      </rPr>
      <t>guia técnico estadual de desenho viário seguro</t>
    </r>
    <r>
      <rPr>
        <sz val="9"/>
        <color theme="1"/>
        <rFont val="Open Sans"/>
        <family val="2"/>
      </rPr>
      <t xml:space="preserve"> que reúna, revise e atualize diretrizes e parâmetros alinhados ao Sistema Seguro, subsidiando municípios e órgãos estaduais na formulação e implementação de projetos viários na malha urbana que protejam os usuários vulneráveis (pedestres, ciclistas e motociclistas)</t>
    </r>
  </si>
  <si>
    <t>Elaboração e publicação do guia técnico estadual de desenho viário seguro, reunindo e atualizando diretrizes e parâmetros aplicáveis à malha urbana, com orientações para formulação, avaliação e implantação de projetos viários seguros pelos municípios e órgãos estaduais</t>
  </si>
  <si>
    <t>STM, SDUH, SEDPcD</t>
  </si>
  <si>
    <t>Guia técnico estadual publicado</t>
  </si>
  <si>
    <t>Incorporação das diretrizes e parâmetros do guia técnico estadual de desenho viário seguro em programas estaduais que incidem na malha urbana</t>
  </si>
  <si>
    <t>% de programas estaduais com diretrizes e parâmetros revisados</t>
  </si>
  <si>
    <t>(Número de programas estaduais que incorporaram as diretrizes do guia / Total de programas previstos para revisão) * 100</t>
  </si>
  <si>
    <t>Disseminação e treinamento do guia técnico estadual de desenho viário seguro para técnicos estaduais e municipais</t>
  </si>
  <si>
    <t>STM, SDUH, SEDPcD, ARTESP, DER-SP, SEMIL-SP</t>
  </si>
  <si>
    <t>% de órgãos estaduais envolvidos no Guia com profissionais capacitados</t>
  </si>
  <si>
    <t>(Número de órgãos estaduais com profissionais capacitados no Guia / Total de órgãos estaduais envolvidos) *100</t>
  </si>
  <si>
    <t>% das Superintendências Regionais de Trânsito com profissionais capacitados</t>
  </si>
  <si>
    <t>(Número de Superintendências regionais de trânsito com profissionais capacitados no Guia / Total de Superintendências) *100</t>
  </si>
  <si>
    <t>% de municípios integrados ao Sistran-SP com técnicos capacitados</t>
  </si>
  <si>
    <t>(Número de  municípios integrados ao Sistran-SP com profissionais capacitados no Guia / Total de municípios integrados ao Sistran-SP) *100</t>
  </si>
  <si>
    <t>3.1.2</t>
  </si>
  <si>
    <t>Definição de indicadores contratuais complementares de desempenho relacionados à infraestrutura viária segura de todos os usuários da via e validação intersetorial dos indicadores</t>
  </si>
  <si>
    <t>Superintendência de Rodovias (SUROD)</t>
  </si>
  <si>
    <t>DER-SP, Detran-SP, SEMIL-SP</t>
  </si>
  <si>
    <t>Indicadores definidos e validados</t>
  </si>
  <si>
    <t>Número de Indicadores definidos e validados</t>
  </si>
  <si>
    <t>Publicação de caderno de indicadores contratuais de infraestrutura viária segura para concessão de rodovias e novas rodovias</t>
  </si>
  <si>
    <t>Caderno publicado</t>
  </si>
  <si>
    <t>Caderno de indicadores contratuais publicado</t>
  </si>
  <si>
    <t>Incorporação de metas de readequação da infraestrutura viária nos editais e aditivos contratuais relativos à concessão de rodovias e novas rodovias</t>
  </si>
  <si>
    <t>% de novos contratos de concessão com metas de segurança viária incorporadas</t>
  </si>
  <si>
    <t>(Número de novos contratos de concessão que incorporam metas de segurança viária / Total de novos contratos de concessão firmados) * 100</t>
  </si>
  <si>
    <t>% de contratos ativos com metas de segurança viária revisadas</t>
  </si>
  <si>
    <t>(Número de contratos ativos que incorporam metas de segurança viária / Total de contratos ativos) * 101</t>
  </si>
  <si>
    <t>N° de documentos publicados</t>
  </si>
  <si>
    <t>Número de documentos publicados</t>
  </si>
  <si>
    <t>3.1.3</t>
  </si>
  <si>
    <r>
      <t xml:space="preserve">Incorporar parâmetros de infraestrutura viária segura, alinhados ao Sistema Seguro, em </t>
    </r>
    <r>
      <rPr>
        <b/>
        <sz val="9"/>
        <color theme="1"/>
        <rFont val="Open Sans"/>
        <family val="2"/>
      </rPr>
      <t>contratos de concessão de corredores de transporte coletivo (BRT e VLT)</t>
    </r>
    <r>
      <rPr>
        <sz val="9"/>
        <color theme="1"/>
        <rFont val="Open Sans"/>
        <family val="2"/>
      </rPr>
      <t>, vinculando resultados à redução de risco e à promoção de mobilidade segura para pedestres e ciclistas</t>
    </r>
  </si>
  <si>
    <t>Mapeamento e análise crítica dos contratos de concessão de corredores de transporte coletivo existentes e cláusulas relacionados à infraestrutura viária segura</t>
  </si>
  <si>
    <t>Superintendência de Transportes Coletivos (SUCOL)</t>
  </si>
  <si>
    <t>DER-SP, Detran-SP, SEMIL-SP, STM, SDUH</t>
  </si>
  <si>
    <t>Mapeamento e análise crítica dos contratos de concessão de corredores de transporte coletivo existentes realizadas</t>
  </si>
  <si>
    <t>Indicadores contratuais definidos e validados</t>
  </si>
  <si>
    <t>Número de indicadores contratuais definidos e validados</t>
  </si>
  <si>
    <t>Publicação de caderno de indicadores contratuais de infraestrutura viária segura para concessão de corredores de transporte coletivo</t>
  </si>
  <si>
    <t>Caderno de indicadores contratuais de infraestrutura viária segura para concessão de corredores de transporte coletivo publicado</t>
  </si>
  <si>
    <t>Incorporação de metas de readequação da infraestrurua viária nos editais e aditivos contratuais relativos à concessão de corredores de transporte coletivo</t>
  </si>
  <si>
    <t>(Número de novos contratos de concessão de corredores de transporte coletivo que incorporam metas de readequação viária / Total de novos contratos de concessão firmados) * 100</t>
  </si>
  <si>
    <t>(Número de contratos ativos de concessão de transporte coletivo que incorporam metas de readequação viária / Total de contratos de concessão firmados) * 101</t>
  </si>
  <si>
    <t>Elaboração e publicação de resultados de análises de desempenho em segurança viária das concessionárias</t>
  </si>
  <si>
    <t>Número de análises de desempenho em segurança viária publicadas</t>
  </si>
  <si>
    <t>3.1.4</t>
  </si>
  <si>
    <t>Mapeamento e análise crítica dos contratos de novas rodovias e de manutenção de rodovias existentes e cláusulas relacionados à infraestrutura viária segura</t>
  </si>
  <si>
    <t>Diretoria de Obras (DO)</t>
  </si>
  <si>
    <t>Detran-SP, SEMIL-SP, STM, ARTESP</t>
  </si>
  <si>
    <t>Mapeamento e análise crítica dos contratos de novas rodovias e de manutenção de rodovias existentes realizadas</t>
  </si>
  <si>
    <t>(Número de contratos mapeados e analisados / Total de contratos previstos para análise) * 100</t>
  </si>
  <si>
    <t>Número de indicadores contratuais complementares de desempenho relacionados à infraestrutura viária segura de todos os usuários da via definidos e validados</t>
  </si>
  <si>
    <t>Publicação de caderno de indicadores contratuais de infraestrutura viária segura para novas rodovias e manutenção de rodovias</t>
  </si>
  <si>
    <t>Caderno de indicadores contratuais de infraestrutura viária segura para novas rodovias e manutenção de rodovias publicado</t>
  </si>
  <si>
    <t>Incorporação de metas de readequação da infraestrurua viária nos editais e aditivos contratuais relativos às novas rodovias e de manutenção de rodovias</t>
  </si>
  <si>
    <t>(Número de novos contratos de rodovias que incorporam metas de readequação da infraestrutura viária / Total de novos contratos de rodovias firmados) * 100</t>
  </si>
  <si>
    <t>(Número de contratos  ativos de rodovias que incorporam metas de readequação da infraestrutura viária / Total de novos contratos de rodovias firmados) * 100</t>
  </si>
  <si>
    <t>Elaboração e publicação de resultados de análises de desempenho em segurança viária das rodovias estaduais sob administração pública direta</t>
  </si>
  <si>
    <t>3.1.5</t>
  </si>
  <si>
    <r>
      <t xml:space="preserve">Desenvolver </t>
    </r>
    <r>
      <rPr>
        <b/>
        <sz val="9"/>
        <color theme="1"/>
        <rFont val="Open Sans"/>
        <family val="2"/>
      </rPr>
      <t>Manual Rodoviário para Pedestres do DER-SP</t>
    </r>
    <r>
      <rPr>
        <sz val="9"/>
        <color theme="1"/>
        <rFont val="Open Sans"/>
        <family val="2"/>
      </rPr>
      <t>, contemplando diretrizes e parâmetros de desenho viário, manutenção, operação e medidas de baixo custo voltadas à proteção de pedestres nas rodovias estaduais</t>
    </r>
  </si>
  <si>
    <t>Análise crítica das diretrizes e parâmetros já existentes a nível estadual sobre desenho e sinalização viária voltada para pedestres</t>
  </si>
  <si>
    <t>Diretoria de Engenharia (DE)</t>
  </si>
  <si>
    <t>ARTESP, SEMIL-SP, Detran-SP</t>
  </si>
  <si>
    <t>% de parâmetros e diretrizes existentes analisados</t>
  </si>
  <si>
    <t>(Número de diretrizes e parâmetros estaduais analisados / Total de diretrizes e parâmetros existentes) * 100</t>
  </si>
  <si>
    <t>Criação de parâmetros de desenho viário seguro para pedestres em trechos de rodovias estaduais que cruzam centros urbanos</t>
  </si>
  <si>
    <t>Parâmetros criados</t>
  </si>
  <si>
    <t>(Número de parâmetros de desenho viário seguro criados / Total de parâmetros previstos para criação) * 100</t>
  </si>
  <si>
    <t>Publicação do Manual Rodoviário para Pedestres do DER-SP, incorporando parâmetros existentes, revisados e criados</t>
  </si>
  <si>
    <t>Manual publicado</t>
  </si>
  <si>
    <t>Manual Rodoviário para Pedestres do DER-SP publicado</t>
  </si>
  <si>
    <t>Disseminação e treinamento do Manual Rodoviário para Pedestres do DER-SP criado para técnicos estaduais e municipais, e das concessionárias</t>
  </si>
  <si>
    <t>Disseminação e treinamento do Manual realizado</t>
  </si>
  <si>
    <t>Treinamento sobre o Manual Rodoviário para Pedestres do DER-SP</t>
  </si>
  <si>
    <t>3.1.6</t>
  </si>
  <si>
    <r>
      <rPr>
        <sz val="9"/>
        <color rgb="FF2C2C4D"/>
        <rFont val="Open Sans"/>
        <family val="2"/>
      </rPr>
      <t xml:space="preserve">Articular com órgãos federais a </t>
    </r>
    <r>
      <rPr>
        <b/>
        <sz val="9"/>
        <color rgb="FF2C2C4D"/>
        <rFont val="Open Sans"/>
        <family val="2"/>
      </rPr>
      <t>atualização e harmonização de normas técnicas de infraestrutura e desenho viário</t>
    </r>
    <r>
      <rPr>
        <sz val="9"/>
        <color rgb="FF2C2C4D"/>
        <rFont val="Open Sans"/>
        <family val="2"/>
      </rPr>
      <t>, assegurando padrões de proteção a usuários vulneráveis nas malhas urbana e rodoviária</t>
    </r>
  </si>
  <si>
    <t>ARTESP, Detran-SP, Cetran-SP, SDUH</t>
  </si>
  <si>
    <t>Documento elaborado e publicado</t>
  </si>
  <si>
    <t>Envio de contribuições técnicas para a Câmara Temática de Engenharia de Tráfego e Sinalização de Trânsito (CTET) vinculada ao Conselho Nacional de Trânsito (CONTRAN)</t>
  </si>
  <si>
    <t>Contribuições técnicas enviadas</t>
  </si>
  <si>
    <t>Número de contribuições técnicas enviadas</t>
  </si>
  <si>
    <t>3.2.1</t>
  </si>
  <si>
    <t>Mapeamento dos trechos de alto risco das rodovias estaduais sob administração pública direta, a partir da metodologia iRAP de avaliação da infraestrutura</t>
  </si>
  <si>
    <t>Mapeamento realizado</t>
  </si>
  <si>
    <t>Mapeamento dos trechos de alto risco das rodovias estaduais a partir da metodologia iRAP realizados</t>
  </si>
  <si>
    <t>Mapeamento dos trechos de alto risco das rodovias estaduais concedidas, a partir da metodologia iRAP de avaliação da infraestrutura</t>
  </si>
  <si>
    <t>Elaboração e publicação de plano de priorização e tratamento dos pontos críticos das rodovias estaduais sob administração pública direta, considerando locais mais críticos e trechos rodoviários com características urbanas</t>
  </si>
  <si>
    <t>Plano publicado</t>
  </si>
  <si>
    <t>Plano de priorização e tratamento dos pontos críticos das rodovias estaduais publicado</t>
  </si>
  <si>
    <t>Revisão dos planos de ação de intervenções nas rodovias estaduais concedidas para inclusão do tratamento dos pontos críticos não previstos</t>
  </si>
  <si>
    <t>% de planos de ação revisados</t>
  </si>
  <si>
    <t>(Número de planos de ação revisados / Total de planos de ação previstos para revisão) * 100</t>
  </si>
  <si>
    <t>Capacitação das equipes técnicas estaduais em inspeções de segurança viária</t>
  </si>
  <si>
    <t>Diretoria de Operações Viárias</t>
  </si>
  <si>
    <t>Detran-SP, ARTESP</t>
  </si>
  <si>
    <t>Nº de ciclos de capacitação realizados</t>
  </si>
  <si>
    <t>Número de ciclos de capacitação realizados</t>
  </si>
  <si>
    <t>Implantação dos projetos de melhorias nos trechos de rodovias estaduais sob administração pública direta</t>
  </si>
  <si>
    <t>% de trechos críticos com melhorias implantadas</t>
  </si>
  <si>
    <t>(Número de trechos críticos com melhorias implantadas ÷ Total de trechos críticos previstos para intervenção) × 100</t>
  </si>
  <si>
    <t>Publicação de resultados de análises de desempenho com periodicidade e métricas padronizadas por trecho das rodovias sob administração pública direta</t>
  </si>
  <si>
    <t>Nº de relatórios antes-depois publicados</t>
  </si>
  <si>
    <t>Número de relatório publicados</t>
  </si>
  <si>
    <t>Publicação de resultados de análises de desempenho com periodicidade e métricas padronizadas por trecho das rodovias concedidas</t>
  </si>
  <si>
    <t>Detran-SP, DER-SP</t>
  </si>
  <si>
    <t>3.2.2</t>
  </si>
  <si>
    <r>
      <t xml:space="preserve">Fornecer apoio técnico e financeiro a municípios no </t>
    </r>
    <r>
      <rPr>
        <b/>
        <sz val="9"/>
        <color theme="1"/>
        <rFont val="Open Sans"/>
        <family val="2"/>
      </rPr>
      <t>desenvolvimento e implantação de projetos viários seguros</t>
    </r>
    <r>
      <rPr>
        <sz val="9"/>
        <color theme="1"/>
        <rFont val="Open Sans"/>
        <family val="2"/>
      </rPr>
      <t>, voltados especialmente à proteção e acessibilidade de pedestres e ciclistas, por meio de programas estaduais</t>
    </r>
  </si>
  <si>
    <t>Mapeamento e análise crítica dos programas estaduais existentes que implementam ações na malha viária urbana</t>
  </si>
  <si>
    <t>Mapeamento e análise crítica realizados</t>
  </si>
  <si>
    <t>Número de mapeamentos e análises críticas realizados</t>
  </si>
  <si>
    <t>Revisão dos critérios de enquadramento, seleção dos locais e soluções-tipo dos programas, com foco em salvar vidas</t>
  </si>
  <si>
    <t>% de programas com critérios revisados</t>
  </si>
  <si>
    <t>(Número de programas que tiveram critérios revisados ÷ Total de programas previstos para revisão) × 100</t>
  </si>
  <si>
    <t>Capacitação dos técnicos municipais e estaduais em desenho viário seguro</t>
  </si>
  <si>
    <t>Repasse de recursos financeiros e/ou materiais para a implantação de projetos viários seguros nos municipios</t>
  </si>
  <si>
    <t>N° de orçamentos anuais aprovados e publicados</t>
  </si>
  <si>
    <t>3.2.3</t>
  </si>
  <si>
    <r>
      <t xml:space="preserve">Implementar </t>
    </r>
    <r>
      <rPr>
        <b/>
        <sz val="9"/>
        <color theme="1"/>
        <rFont val="Open Sans"/>
        <family val="2"/>
      </rPr>
      <t>programa estadual de prevenção e mitigação de atropelamentos de fauna silvestre e doméstica</t>
    </r>
    <r>
      <rPr>
        <sz val="9"/>
        <color theme="1"/>
        <rFont val="Open Sans"/>
        <family val="2"/>
      </rPr>
      <t xml:space="preserve"> em rodovias estaduais concedidas e não concedidas, visando a redução da mortalidade de animais e usuários</t>
    </r>
  </si>
  <si>
    <t>Mapeamento e georreferenciamento de registros de atropelamentos de fauna e animais domésticos em rodovias estaduais, com identificação dos 50 trechos mais críticos</t>
  </si>
  <si>
    <t xml:space="preserve">Diretoria de Operações Viárias (DV)
</t>
  </si>
  <si>
    <t>ARTESP, Detran-SP</t>
  </si>
  <si>
    <t>Elaboração de Plano estadual de mitigação de atropelamentos de fauna, com diretrizes de engenharia, gestão e monitoramento</t>
  </si>
  <si>
    <t>Plano elaborado</t>
  </si>
  <si>
    <t>Elaboração de instrumento de cooperação com municípios para criação e fortalecimento de espaços de acolhimento e atendimento emergencial a animais domésticos abandonados e atropelados vivos</t>
  </si>
  <si>
    <t>Instrumento de cooperação elaborado</t>
  </si>
  <si>
    <t>Implantação de programa piloto de passagens de fauna com monitoramento de efetividade</t>
  </si>
  <si>
    <t>Nº de passagens implantadas e monitoradas</t>
  </si>
  <si>
    <t>% de redução dos atropelamentos de fauna silvestre e doméstica nas rodovias estaduais</t>
  </si>
  <si>
    <t>Realização de campanha estadual de conscientização sobre abandono e bem-estar animal, em parceria com municípios</t>
  </si>
  <si>
    <t>% de municípios integrados ao Sistran-SP com campanha veiculada</t>
  </si>
  <si>
    <t>3.3.1</t>
  </si>
  <si>
    <r>
      <t xml:space="preserve">Incluir critérios de segurança viária nos </t>
    </r>
    <r>
      <rPr>
        <b/>
        <sz val="9"/>
        <color theme="1"/>
        <rFont val="Open Sans"/>
        <family val="2"/>
      </rPr>
      <t>planos e programas estaduais de transporte coletivo</t>
    </r>
    <r>
      <rPr>
        <sz val="9"/>
        <color theme="1"/>
        <rFont val="Open Sans"/>
        <family val="2"/>
      </rPr>
      <t xml:space="preserve"> e elaborar plano de ação para </t>
    </r>
    <r>
      <rPr>
        <b/>
        <sz val="9"/>
        <color theme="1"/>
        <rFont val="Open Sans"/>
        <family val="2"/>
      </rPr>
      <t>integração da malha</t>
    </r>
    <r>
      <rPr>
        <sz val="9"/>
        <color theme="1"/>
        <rFont val="Open Sans"/>
        <family val="2"/>
      </rPr>
      <t xml:space="preserve"> em regiões de alta demanda e sinistralidade</t>
    </r>
  </si>
  <si>
    <t>Monitoramento permanente dos Planos Integrados de Transportes Urbanos (PITU)</t>
  </si>
  <si>
    <t>STM</t>
  </si>
  <si>
    <t>Coordenadoria de Planejamento e Gestão (CPG)</t>
  </si>
  <si>
    <t>SEMIL-SP, Detran-SP, DER-SP, ARTESP</t>
  </si>
  <si>
    <t>Ferramenta de monitoramento permanente criada</t>
  </si>
  <si>
    <t>Ampliação dos critérios de segurança viária no PDT e PITU, alinhando-os ao Sistema Seguro</t>
  </si>
  <si>
    <t>Critérios revisados</t>
  </si>
  <si>
    <t xml:space="preserve">3.3.2
</t>
  </si>
  <si>
    <r>
      <t xml:space="preserve">Apoiar a implementação do </t>
    </r>
    <r>
      <rPr>
        <b/>
        <sz val="9"/>
        <color theme="1"/>
        <rFont val="Open Sans"/>
        <family val="2"/>
      </rPr>
      <t>Plano Cicloviário Estadual</t>
    </r>
    <r>
      <rPr>
        <sz val="9"/>
        <color theme="1"/>
        <rFont val="Open Sans"/>
        <family val="2"/>
      </rPr>
      <t>, garantindo uma rede cicloviária conectada e protegida, integrada ao transporte coletivo e às áreas urbanizadas</t>
    </r>
  </si>
  <si>
    <t>Mapeamento dos trechos rodoviários críticos, considerando locais com alta sinistralidade de ciclistas, locais com alto fluxo de ciclistas em rodovias sem infraestrutura cicloviária e trechos rodoviários com características urbanas, e definição das metas e prazos de implantação</t>
  </si>
  <si>
    <t>SEMIL-SP</t>
  </si>
  <si>
    <t>Subsecretaria de Logística e Transportes (SLT)</t>
  </si>
  <si>
    <t>Detran-SP, DER-SP, ARTESP, STM, SDUH, SEDPcD</t>
  </si>
  <si>
    <t>Revisão e atualização da regulamentação que define os parâmetros de desenho da infraestrutura cicloviária nas rodovias estaduais</t>
  </si>
  <si>
    <t>% de regulamentação revisada e atualizada</t>
  </si>
  <si>
    <t>Revisão e atualização da regulamentação estadual para incluir a obrigatoriedade de bicicletários nas estações de transporte coletivo mantidas ou concedidas pelo estado (metrô, trem, VLT etc.)</t>
  </si>
  <si>
    <t>Revisão e atualização da regulamentação realizada</t>
  </si>
  <si>
    <t>Implantação dos projetos de ciclovias e ciclofaixas nos trechos rodoviários críticos sob administração pública direta</t>
  </si>
  <si>
    <t>Detran-SP, ARTESP, STM, SDUH, SEDPcD, SEMIL-SP</t>
  </si>
  <si>
    <t>Plano de implantação elaborado</t>
  </si>
  <si>
    <t>Projetos implantados</t>
  </si>
  <si>
    <t>Incorporação da obrigação de ciclovias e ciclofaixas nos trechos rodoviários críticos nos editais e aditivos contratuais das rodovias estaduais concedidas</t>
  </si>
  <si>
    <t>Detran-SP, DER-SP, STM, SDUH, SEMIL-SP, SEDPcD</t>
  </si>
  <si>
    <t>% de novos contratos de concessão com obrigação de ciclovias e ciclofaixas nos trechos rodoviários críticos incorporada</t>
  </si>
  <si>
    <t>4.1.1</t>
  </si>
  <si>
    <r>
      <t xml:space="preserve">Integrar a </t>
    </r>
    <r>
      <rPr>
        <b/>
        <sz val="9"/>
        <color theme="1"/>
        <rFont val="Open Sans"/>
        <family val="2"/>
      </rPr>
      <t>dimensão educativa</t>
    </r>
    <r>
      <rPr>
        <sz val="9"/>
        <color theme="1"/>
        <rFont val="Open Sans"/>
        <family val="2"/>
      </rPr>
      <t xml:space="preserve"> da segurança viária no </t>
    </r>
    <r>
      <rPr>
        <b/>
        <sz val="9"/>
        <color theme="1"/>
        <rFont val="Open Sans"/>
        <family val="2"/>
      </rPr>
      <t>cotidiano escolar estadual e municipal</t>
    </r>
  </si>
  <si>
    <t>Elaboração de repositório com materiais de apoio à prática educativa no tema da segurança viária contendo orientações de atividades e projetos continuados para cada etapa escolar e faixa etária</t>
  </si>
  <si>
    <t>DER-SP, SEDUC-SP, Detran-SP, Cetran-SP</t>
  </si>
  <si>
    <t>Repositório criado</t>
  </si>
  <si>
    <t>Realização de programas de capacitação de professores da rede de educação básica estadual e municipal em mobilidade e segurança viária</t>
  </si>
  <si>
    <t>SEDUC-SP</t>
  </si>
  <si>
    <t>N° de ciclos de capacitação professores da rede de educação básica estadual e municipal realizados</t>
  </si>
  <si>
    <t>N° de professores capacitados em mobilidade e segurança viária</t>
  </si>
  <si>
    <t>Realização de oficinas e palestras sobre segurança viária voltadas a adultos e idosos atendidos pela EJA nas redes estadual e municipal de educação</t>
  </si>
  <si>
    <t>SEDUC-SP, Cetran-SP</t>
  </si>
  <si>
    <t>N° de oficinas e/ou palestras realizadas</t>
  </si>
  <si>
    <t>Criação de rede paulista de educadores estaduais e municipais em segurança viária, da rede de articuladores regionais</t>
  </si>
  <si>
    <t>Coordenadoria Pedagógica</t>
  </si>
  <si>
    <t>N° articuladores regionais por Unidade Regional de Ensino mobilizados</t>
  </si>
  <si>
    <t>Rede de educadores criada</t>
  </si>
  <si>
    <t>Instituição de reconhecimento estadual de boas práticas de segurança viária na rede de educação básica</t>
  </si>
  <si>
    <t xml:space="preserve">Coordenadoria Pedagógica
</t>
  </si>
  <si>
    <t>Reconhecimento instituído</t>
  </si>
  <si>
    <t>Formalização dos convênios e parcerias com universidades e institutos</t>
  </si>
  <si>
    <t>Realização de oficinas e palestras para aproximação com as instituições de ensino superior</t>
  </si>
  <si>
    <t xml:space="preserve">Elaboração de documento com diretrizes curriculares e conteúdos mínimos sobre segurança viária, em alinhamento com os princípios do Sistema Seguro e da Visão Zero, e com a BNCC e Currículo Paulista </t>
  </si>
  <si>
    <t>Documento elaborado</t>
  </si>
  <si>
    <t>Instituição de reconhecimento estadual de boas práticas de segurança viária na rede de educação superior</t>
  </si>
  <si>
    <t>SEDUC-SP, DER-SP, SES-SP</t>
  </si>
  <si>
    <t>4.1.3</t>
  </si>
  <si>
    <t>Mapeamento dos municípios que possuem órgãos de trânsito e das organizações e institutos por localidade que possuem sinergia com o tema da mobilidade e segurança viária</t>
  </si>
  <si>
    <t>DER-SP, ARTESP, Cetran-SP</t>
  </si>
  <si>
    <t>DER-SP, ARTESP</t>
  </si>
  <si>
    <t>Capacitação servidores municipais e equipes das organizações parceiras</t>
  </si>
  <si>
    <t>DER-SP, Cetran-SP, ARTESP</t>
  </si>
  <si>
    <t>N° de ciclos de capacitação para servidores municipais realizados</t>
  </si>
  <si>
    <t>% dos municípios integrados ao Sistran com servidores capacitados</t>
  </si>
  <si>
    <t>Ciclo de capacitação para as organizações parceiras realizada</t>
  </si>
  <si>
    <t>4.1.4</t>
  </si>
  <si>
    <r>
      <t xml:space="preserve">Promover atividades de </t>
    </r>
    <r>
      <rPr>
        <b/>
        <sz val="9"/>
        <color theme="1"/>
        <rFont val="Open Sans"/>
        <family val="2"/>
      </rPr>
      <t>sensibilização de jovens no âmbito escolar</t>
    </r>
    <r>
      <rPr>
        <sz val="9"/>
        <color theme="1"/>
        <rFont val="Open Sans"/>
        <family val="2"/>
      </rPr>
      <t xml:space="preserve"> sobre temas relacionados à segurança viária</t>
    </r>
  </si>
  <si>
    <t>Publicação de metodologia participativa para sensibilização e escuta de jovens que valorize suas experiências e vivências</t>
  </si>
  <si>
    <t>Metodologia publicada</t>
  </si>
  <si>
    <t>Capacitação das equipes das Superintendências Regionais de Trânsito para aplicação das atividades</t>
  </si>
  <si>
    <t>% das equipes das Superintendências capacitadas</t>
  </si>
  <si>
    <t>Definição de agenda alinhada com o calendário das unidades escolares para aplicação das atividades</t>
  </si>
  <si>
    <t>N° de unidades escolares com atividades por ano</t>
  </si>
  <si>
    <t>Elaboração e implementação de plano de atividades de sensibilização juvenil</t>
  </si>
  <si>
    <t>N° de planos de atividades elaborados</t>
  </si>
  <si>
    <t>Realização de ciclos de sensibilização de jovens pelas Superintendências Regionais de Trânsito</t>
  </si>
  <si>
    <t>N° de unidades escolares com atividades</t>
  </si>
  <si>
    <t>4.2.1</t>
  </si>
  <si>
    <r>
      <t xml:space="preserve">Promover a </t>
    </r>
    <r>
      <rPr>
        <b/>
        <sz val="9"/>
        <color theme="1"/>
        <rFont val="Open Sans"/>
        <family val="2"/>
      </rPr>
      <t>atualização contínua dos servidores estaduais</t>
    </r>
    <r>
      <rPr>
        <sz val="9"/>
        <color theme="1"/>
        <rFont val="Open Sans"/>
        <family val="2"/>
      </rPr>
      <t xml:space="preserve"> dos órgãos de trânsito e mobilidade, bem como de outros órgãos correlatos (polícias, DER-SP, ARTESP, secretarias setoriais) nos conceitos e práticas do Sistema Seguro e da Visão Zero</t>
    </r>
  </si>
  <si>
    <t>Elaboração de conteúdo dos conceitos de Sistema Seguro e Visão Zero para uso nos ciclos de capacitação</t>
  </si>
  <si>
    <t>DER-SP, PMESP, ARTESP, SES-SP, SEDUC-SP, SEMIL-SP, SECOM, SEDPcD, STM, SSP, Cetran-SP</t>
  </si>
  <si>
    <t>Módulos multimídia publicados</t>
  </si>
  <si>
    <t>Implantação de ferramenta de monitoramento da atualização contínua dos servidores estaduais no âmbito do Sistran-SP</t>
  </si>
  <si>
    <t>DER-SP, PMESP, ARTESP, Detran-SP, SES-SP, SEDUC-SP, SEMIL-SP, SECOM, SEDPcD, STM, SSP</t>
  </si>
  <si>
    <t>Ferramenta implantada</t>
  </si>
  <si>
    <t>4.2.2</t>
  </si>
  <si>
    <r>
      <t xml:space="preserve">Apoiar a </t>
    </r>
    <r>
      <rPr>
        <b/>
        <sz val="9"/>
        <color theme="1"/>
        <rFont val="Open Sans"/>
        <family val="2"/>
      </rPr>
      <t>atualização contínua de gestores, técnicos e agentes municipais</t>
    </r>
    <r>
      <rPr>
        <sz val="9"/>
        <color theme="1"/>
        <rFont val="Open Sans"/>
        <family val="2"/>
      </rPr>
      <t xml:space="preserve"> de trânsito e mobilidade em conceitos e práticas do Sistema Seguro e da Visão Zero</t>
    </r>
  </si>
  <si>
    <t>Disseminação de conteúdo dos conceitos de Sistema Seguro e Visão Zero para uso do município nos ciclos de capacitação</t>
  </si>
  <si>
    <t>% dos municípios capacitados</t>
  </si>
  <si>
    <t>Criação de espaços permanentes de intercâmbio entre técnicos municipais e estaduais sobre formação e capacitação continuada de servidores, no âmbito do Sistran-SP</t>
  </si>
  <si>
    <t>Seção de Integração</t>
  </si>
  <si>
    <t>DER-SP, PMESP, ARTESP, Detran-SP, SES-SP, SEDUC-SP, SEMIL-SP</t>
  </si>
  <si>
    <t>Espaço de intercâmbio criado</t>
  </si>
  <si>
    <t>4.3.1</t>
  </si>
  <si>
    <r>
      <rPr>
        <sz val="9"/>
        <color rgb="FF2C2C4D"/>
        <rFont val="Open Sans"/>
        <family val="2"/>
      </rPr>
      <t xml:space="preserve">Atualizar a capacitação periódica e especializada em segurança viária para </t>
    </r>
    <r>
      <rPr>
        <b/>
        <sz val="9"/>
        <color rgb="FF2C2C4D"/>
        <rFont val="Open Sans"/>
        <family val="2"/>
      </rPr>
      <t>motoristas profissionais</t>
    </r>
    <r>
      <rPr>
        <sz val="9"/>
        <color rgb="FF2C2C4D"/>
        <rFont val="Open Sans"/>
        <family val="2"/>
      </rPr>
      <t>, alinhando-a ao Sistema Seguro</t>
    </r>
  </si>
  <si>
    <t>Revisão dos conteúdos das capacitações de Motofrete, Transporte Escolar, Transporte Coletivo de Passageiros, Transporte de Produtos Perigosos, Transporte de Emergência e Transporte de Carga Indivisível, alinhando-os aos princípios do Sistema Seguro</t>
  </si>
  <si>
    <t>SEMIL-SP, ARTESP, DER-SP</t>
  </si>
  <si>
    <t>N° de capacitações revisada e homologada</t>
  </si>
  <si>
    <t>% de novos conteúdos implementados em todos os cursos de capacitação profissional</t>
  </si>
  <si>
    <t>4.3.2</t>
  </si>
  <si>
    <r>
      <rPr>
        <sz val="9"/>
        <color rgb="FF2C2C4D"/>
        <rFont val="Open Sans"/>
        <family val="2"/>
      </rPr>
      <t xml:space="preserve">Atualizar a formação de </t>
    </r>
    <r>
      <rPr>
        <b/>
        <sz val="9"/>
        <color rgb="FF2C2C4D"/>
        <rFont val="Open Sans"/>
        <family val="2"/>
      </rPr>
      <t>instrutores e examinadores de trânsito</t>
    </r>
    <r>
      <rPr>
        <sz val="9"/>
        <color rgb="FF2C2C4D"/>
        <rFont val="Open Sans"/>
        <family val="2"/>
      </rPr>
      <t>, alinhando-a ao Sistema Seguro</t>
    </r>
  </si>
  <si>
    <t>Avaliação e homologação dos materiais didáticos e referenciais pedagógicos alinhados ao Sistema Seguro utilizados na formação de instrutores e examinadores de trânsito</t>
  </si>
  <si>
    <t>Referenciais pedagógicos revisados e homologados</t>
  </si>
  <si>
    <t>% das entidades credenciadas com implementação dos novos referenciais</t>
  </si>
  <si>
    <t>Implementação de programa de reconhecimento e incentivo a instrutores e examinadores</t>
  </si>
  <si>
    <t>Programa-piloto implantado</t>
  </si>
  <si>
    <t>Programa institucionalizado</t>
  </si>
  <si>
    <t>N° de ciclos de reconhecimento realizados</t>
  </si>
  <si>
    <t>4.3.3</t>
  </si>
  <si>
    <r>
      <rPr>
        <sz val="9"/>
        <color rgb="FF2C2C4D"/>
        <rFont val="Open Sans"/>
        <family val="2"/>
      </rPr>
      <t xml:space="preserve">Articular junto ao Governo Federal a </t>
    </r>
    <r>
      <rPr>
        <b/>
        <sz val="9"/>
        <color rgb="FF2C2C4D"/>
        <rFont val="Open Sans"/>
        <family val="2"/>
      </rPr>
      <t>atualização da formação de condutores</t>
    </r>
    <r>
      <rPr>
        <sz val="9"/>
        <color rgb="FF2C2C4D"/>
        <rFont val="Open Sans"/>
        <family val="2"/>
      </rPr>
      <t xml:space="preserve">, revisando metodologias, ferramentas e plataformas de ensino, incluindo modalidades de ensino a distância </t>
    </r>
  </si>
  <si>
    <t>Definição unificada das indicações estaduais, no âmbito do Sistran-SP, para representação estadual na Câmara Temática de Educação para o Trânsito
(CTEDUC)</t>
  </si>
  <si>
    <t>DER-SP, ARTESP, SEDUC-SP, Detran-SP</t>
  </si>
  <si>
    <t>Definição realizada</t>
  </si>
  <si>
    <t>Elaboração de documento com recomendações sobre a atualização da formação de condutores, seus conteúdos e metodologias</t>
  </si>
  <si>
    <t>DER-SP, ARTESP, SEDUC-SP, Cetran-SP</t>
  </si>
  <si>
    <t>Documento elaborado e validado no âmbito do Sistran-SP</t>
  </si>
  <si>
    <t>4.3.4</t>
  </si>
  <si>
    <r>
      <t xml:space="preserve">Adequar os </t>
    </r>
    <r>
      <rPr>
        <b/>
        <sz val="9"/>
        <color theme="1"/>
        <rFont val="Open Sans"/>
        <family val="2"/>
      </rPr>
      <t xml:space="preserve">locais de provas </t>
    </r>
    <r>
      <rPr>
        <sz val="9"/>
        <color theme="1"/>
        <rFont val="Open Sans"/>
        <family val="2"/>
      </rPr>
      <t>prática e teórica de condutores para garantir qualidade e segurança do processo</t>
    </r>
  </si>
  <si>
    <t>Publicação de diagnóstico técnico das condições dos locais de provas</t>
  </si>
  <si>
    <t>Diretoria de Habilitação e Conditores (DHC)</t>
  </si>
  <si>
    <t>Diagnóstico realizado</t>
  </si>
  <si>
    <t>Implantação das adequações conforme critérios de priorização definidos</t>
  </si>
  <si>
    <t>% de implantações realizadas</t>
  </si>
  <si>
    <t>4.3.5</t>
  </si>
  <si>
    <r>
      <rPr>
        <sz val="9"/>
        <color rgb="FF2C2C4D"/>
        <rFont val="Open Sans"/>
        <family val="2"/>
      </rPr>
      <t xml:space="preserve">Divulgar </t>
    </r>
    <r>
      <rPr>
        <b/>
        <sz val="9"/>
        <color rgb="FF2C2C4D"/>
        <rFont val="Open Sans"/>
        <family val="2"/>
      </rPr>
      <t>campanhas educativas de trânsito</t>
    </r>
    <r>
      <rPr>
        <sz val="9"/>
        <color rgb="FF2C2C4D"/>
        <rFont val="Open Sans"/>
        <family val="2"/>
      </rPr>
      <t xml:space="preserve"> nas notificações digitais de autuação e penalidade e aplicativos de gestão de CNH</t>
    </r>
  </si>
  <si>
    <t>Adequação dos sistemas digitais para disseminação das campanhas</t>
  </si>
  <si>
    <t>Diretoria de Fiscalização de Trânsito (DFT)</t>
  </si>
  <si>
    <t>DER-SP, SECOM, Órgãos Autuadores</t>
  </si>
  <si>
    <t>Integração realizada</t>
  </si>
  <si>
    <t>DER-SP, SECOM</t>
  </si>
  <si>
    <t>N° de campanhas educativas produzidas e divulgadas</t>
  </si>
  <si>
    <t>5.1.1</t>
  </si>
  <si>
    <t>Criação de guia com diretrizes de desenvolvimento de campanhas e banco de referências de campanhas nacionais e internacionais em segurança viária no portal da SECOM</t>
  </si>
  <si>
    <t>ASCOM</t>
  </si>
  <si>
    <t>SECOM</t>
  </si>
  <si>
    <t>Guia desenvolvido</t>
  </si>
  <si>
    <t>Publicação de guia com diretrizes de desenvolvimento de campanhas e banco de referências de campanhas nacionais e internacionais em segurança viária no portal da SECOM</t>
  </si>
  <si>
    <t>% de novas campanhas municipais de segurança viária (apoiadas pelo Estado) com adoção das diretrizes do guia</t>
  </si>
  <si>
    <t>5.1.2</t>
  </si>
  <si>
    <r>
      <t xml:space="preserve">Realizar </t>
    </r>
    <r>
      <rPr>
        <b/>
        <sz val="10"/>
        <color theme="1"/>
        <rFont val="Open Sans"/>
        <family val="2"/>
      </rPr>
      <t>campanhas de comunicação de mídia de massa</t>
    </r>
    <r>
      <rPr>
        <sz val="10"/>
        <color theme="1"/>
        <rFont val="Open Sans"/>
        <family val="2"/>
      </rPr>
      <t xml:space="preserve"> periódicas e planejadas com base em dados e evidências, articuladas às operações de fiscalização, e focadas nos principais fatores e grupos de risco</t>
    </r>
  </si>
  <si>
    <t>Elaboração do Plano Anual de Mídia das Campanhas de Massa, com definição de canais e orçamento</t>
  </si>
  <si>
    <t xml:space="preserve">Execução de brand lift (ferramenta para medir o impacto das campanhas no público) em campanhas pré determinadas do calendário anual </t>
  </si>
  <si>
    <t>Nº de campanhas com brand lift</t>
  </si>
  <si>
    <t>Execução de teste de mensagem pré campanha para garantir mensagem alinhada com o público-alvo</t>
  </si>
  <si>
    <t>SEADE, SECOM</t>
  </si>
  <si>
    <t>Nº de teste(s) de mensagem pré campanha executado(s)</t>
  </si>
  <si>
    <t>Implantação de ferramenta de monitoramento de indicadores de comunicação</t>
  </si>
  <si>
    <t>5.1.3</t>
  </si>
  <si>
    <r>
      <t xml:space="preserve">Realizar </t>
    </r>
    <r>
      <rPr>
        <b/>
        <sz val="10"/>
        <color theme="1"/>
        <rFont val="Open Sans"/>
        <family val="2"/>
      </rPr>
      <t>campanhas de comunicação multicanal</t>
    </r>
    <r>
      <rPr>
        <sz val="10"/>
        <color theme="1"/>
        <rFont val="Open Sans"/>
        <family val="2"/>
      </rPr>
      <t>, em âmbito estadual e regional, focadas na dissuasão dos principais comportamentos de risco identificados por dados</t>
    </r>
  </si>
  <si>
    <t xml:space="preserve">Produção de materiais de campanhas temáticas multicanal (podendo incluir peças digitais, vídeos e materiais impressos) </t>
  </si>
  <si>
    <t>Nº de campanhas multicanal (materiais) produzidas</t>
  </si>
  <si>
    <t xml:space="preserve">Disseminação dos materiais de campanhas temáticas multicanal (podendo incluir peças digitais, vídeos e materiais impressos) aos municípios </t>
  </si>
  <si>
    <t>% de municípios integrados ao Sistran-SP com recebimento dos materiais de campanhas</t>
  </si>
  <si>
    <t>% de municípios integrados ao Sistran-SP com materiais de campanhas veiculados</t>
  </si>
  <si>
    <t>5.2.1</t>
  </si>
  <si>
    <t>Produção de materiais de apoio (apresentações, roteiros, guias, etc)</t>
  </si>
  <si>
    <t>% de materiais de apoio produzidos e disponíveis</t>
  </si>
  <si>
    <t>Cetran-SP, SECOM</t>
  </si>
  <si>
    <t>SECOM, Membros Natos SISTRAN-SP</t>
  </si>
  <si>
    <t>Nº de capacitações para equipes de comunicação realizadas</t>
  </si>
  <si>
    <t>5.2.2</t>
  </si>
  <si>
    <t>Publicação do Guia Oficial de Narrativa de Segurança Viária do Estado de São Paulo</t>
  </si>
  <si>
    <t xml:space="preserve">Criação de ficha resumo para porta-vozes com dicas de comunicação e mensagens-chave sobre temas sensíveis relacionados à segurança viária </t>
  </si>
  <si>
    <t>Ficha resumo para porta-vozes criado e disseminado</t>
  </si>
  <si>
    <t xml:space="preserve">
5.2.3</t>
  </si>
  <si>
    <r>
      <t xml:space="preserve">Publicar e disseminar um </t>
    </r>
    <r>
      <rPr>
        <b/>
        <sz val="10"/>
        <color theme="1"/>
        <rFont val="Open Sans"/>
        <family val="2"/>
      </rPr>
      <t>guia prático de comunicação de segurança viária</t>
    </r>
    <r>
      <rPr>
        <sz val="10"/>
        <color theme="1"/>
        <rFont val="Open Sans"/>
        <family val="2"/>
      </rPr>
      <t xml:space="preserve"> para orientar os órgãos e entidades estaduais que compõem o Sistran-SP</t>
    </r>
  </si>
  <si>
    <t>Criação e publicação de Guia Prático para Ações de Comunicação em Segurança Viária</t>
  </si>
  <si>
    <t>Guia Prático publicado</t>
  </si>
  <si>
    <t>Disseminação do guia junto aos municípios integrados ao Sistran-SP</t>
  </si>
  <si>
    <t>SECOM, Cetran-SP, Membros Natos SISTRAN-SP</t>
  </si>
  <si>
    <t>% de municípios integrados ao Sistran-SP com recebimento do guia</t>
  </si>
  <si>
    <t>% de municípios integrados ao Sistran-SP com diretrizes do guia adotadas</t>
  </si>
  <si>
    <t>5.2.4</t>
  </si>
  <si>
    <t>Criação e manutenção de lista de contatos qualificado de imprensa</t>
  </si>
  <si>
    <t>Lista de contatos de imprensa criada e qualificada</t>
  </si>
  <si>
    <t>N° de aualizações de lista de contatos realizadas</t>
  </si>
  <si>
    <t xml:space="preserve">Produção e envio regular de sugestões de pauta, artigos de opinião e comunicados à imprensa </t>
  </si>
  <si>
    <t>Nº de sugestões de pauta qualificadas enviadas</t>
  </si>
  <si>
    <t>Nº de artigos de opinião publicados em veículos de comunicação de alcance estadual ou nacional</t>
  </si>
  <si>
    <t>Nº de sugestões de pautas estratégicas enviadas</t>
  </si>
  <si>
    <t xml:space="preserve">Realização de capacitações anuais para jornalistas </t>
  </si>
  <si>
    <t>Nº de capacitações para jornalistas realizadas</t>
  </si>
  <si>
    <t>Nº de jornalistas capacitados</t>
  </si>
  <si>
    <t>Produção e distribuição de "kit de imprensa digital" após eventos e ações estratégicas</t>
  </si>
  <si>
    <t>SECOM, Membros Natos  SISTRAN-SP</t>
  </si>
  <si>
    <t>% de eventos ou ações relevantes com kit de imprensa produzido</t>
  </si>
  <si>
    <t>5.3.1</t>
  </si>
  <si>
    <t>Cetran-SP, SGRI</t>
  </si>
  <si>
    <t>5.3.2</t>
  </si>
  <si>
    <r>
      <t xml:space="preserve">Estabelecer </t>
    </r>
    <r>
      <rPr>
        <b/>
        <sz val="10"/>
        <color theme="1"/>
        <rFont val="Open Sans"/>
        <family val="2"/>
      </rPr>
      <t>parcerias estratégicas</t>
    </r>
    <r>
      <rPr>
        <sz val="10"/>
        <color theme="1"/>
        <rFont val="Open Sans"/>
        <family val="2"/>
      </rPr>
      <t xml:space="preserve"> com órgãos e entidades do setor público, privado, acadêmico e sociedade civil organizada para a ampliação da comunicação em segurança viária</t>
    </r>
  </si>
  <si>
    <t xml:space="preserve">Formalização de acordos de cooperação ou termos de parceria </t>
  </si>
  <si>
    <t>Cetran-SP, SECOM, SGRI</t>
  </si>
  <si>
    <t>Nº de parcerias estratégicas formalizadas</t>
  </si>
  <si>
    <t xml:space="preserve">Mapeamento de novos parceiros para colaboração </t>
  </si>
  <si>
    <t>SECOM, Cetran-SP, SGRI</t>
  </si>
  <si>
    <t>Mapeamento inicial de parceiros concluído</t>
  </si>
  <si>
    <t>Mapeamento atualizado</t>
  </si>
  <si>
    <t>5.3.3</t>
  </si>
  <si>
    <r>
      <t xml:space="preserve">Instituir um </t>
    </r>
    <r>
      <rPr>
        <b/>
        <sz val="10"/>
        <color theme="1"/>
        <rFont val="Open Sans"/>
        <family val="2"/>
      </rPr>
      <t>calendário anual de comunicação para segurança viária</t>
    </r>
    <r>
      <rPr>
        <sz val="10"/>
        <color theme="1"/>
        <rFont val="Open Sans"/>
        <family val="2"/>
      </rPr>
      <t>, alinhado ao calendário estadual integrado, para orientar o planejamento das campanhas e atividades de comunicação junto a entes estaduais e municipais</t>
    </r>
  </si>
  <si>
    <t xml:space="preserve">Definição de calendário editorial anual com ações intersetoriais de comunicação sobre segurança viária aos municípios </t>
  </si>
  <si>
    <t>Nº de calendário(s) editoral(is) definido(s)</t>
  </si>
  <si>
    <t>Disseminação do calendário junto às Superintendências Regionais de Trânsito e órgãos parceiros</t>
  </si>
  <si>
    <t>Cetran-SP, SECOM, Membros Natos  SISTRAN-SP</t>
  </si>
  <si>
    <t>% de Superintendências Regionais de Trânsito com recebimento do calendário</t>
  </si>
  <si>
    <t>% de Superintendências Regionais de Trânsito com adoção do calendário</t>
  </si>
  <si>
    <t>6.1.1</t>
  </si>
  <si>
    <r>
      <rPr>
        <sz val="10"/>
        <color rgb="FF2C2C4D"/>
        <rFont val="Open Sans"/>
        <family val="2"/>
      </rPr>
      <t xml:space="preserve">Viabilizar a </t>
    </r>
    <r>
      <rPr>
        <b/>
        <sz val="10"/>
        <color rgb="FF2C2C4D"/>
        <rFont val="Open Sans"/>
        <family val="2"/>
      </rPr>
      <t>atuação conjunta e compartilhamento de informações</t>
    </r>
    <r>
      <rPr>
        <sz val="10"/>
        <color rgb="FF2C2C4D"/>
        <rFont val="Open Sans"/>
        <family val="2"/>
      </rPr>
      <t xml:space="preserve"> de fiscalização de trânsito</t>
    </r>
  </si>
  <si>
    <t>Mapeamento e revisão de convênios e instrumentos legais existentes entre órgãos de fiscalização, bem como de modelos de convênio no âmbito do Estado</t>
  </si>
  <si>
    <t>Cetran-SP, DER-SP, PMESP, ARTESP, PRF</t>
  </si>
  <si>
    <t>% de convênios revisados</t>
  </si>
  <si>
    <t>Revisão de modelo de documentos e instrumentos legais padrão</t>
  </si>
  <si>
    <t>PMESP, DER-SP, PRF, Cetran-SP, Órgãos Municipais</t>
  </si>
  <si>
    <t xml:space="preserve">Modelo revisado </t>
  </si>
  <si>
    <t>Assinatura e publicação de instrumentos legais de cooperação</t>
  </si>
  <si>
    <t>DER-SP, ARTESP, PRF, PMESP, Órgãos Municipais</t>
  </si>
  <si>
    <t>% de órgãos de fiscalização com instrumentos assinado e publicado</t>
  </si>
  <si>
    <t>6.1.2</t>
  </si>
  <si>
    <r>
      <t xml:space="preserve">Desenvolver </t>
    </r>
    <r>
      <rPr>
        <b/>
        <sz val="10"/>
        <color theme="1"/>
        <rFont val="Open Sans"/>
        <family val="2"/>
      </rPr>
      <t>planejamento integrado de ações de fiscalização</t>
    </r>
    <r>
      <rPr>
        <sz val="10"/>
        <color theme="1"/>
        <rFont val="Open Sans"/>
        <family val="2"/>
      </rPr>
      <t xml:space="preserve"> entre órgãos estaduais e municipais, priorizando fatores de risco e áreas críticas</t>
    </r>
  </si>
  <si>
    <t>Realização de oficinas técnicas regionais com participação dos órgãos envolvidos</t>
  </si>
  <si>
    <t>PMESP, ANTT, ARTESP, DER-SP, PRF, Órgãos Municipais, Órgãos Autuadores, Cetran-SP</t>
  </si>
  <si>
    <t>Estabelecimento de planos estratégicos estadual e regionais de fiscalização, com base nos dados Infosiga e Oficinas regionais</t>
  </si>
  <si>
    <t>PMESP, ANTT, ARTESP, DER-SP, PRF, Órgãos Municipais, Órgãos Autuadores</t>
  </si>
  <si>
    <t>Plano estadual publicado</t>
  </si>
  <si>
    <t>N° de revisões dos plano estadual publicado</t>
  </si>
  <si>
    <t>% de planos regionais publicados</t>
  </si>
  <si>
    <t>100% (revisão a cada 3 anos)</t>
  </si>
  <si>
    <t>Desenvolvimento de solução tecnológica para apoiar o planejamento integrado de operações, contemplando requisitos e protocolos para a coleta e gestão de dados</t>
  </si>
  <si>
    <t>Diretoria de Tecnologia da Informação (DTI)</t>
  </si>
  <si>
    <t>Solução tecnológica desenvolvida</t>
  </si>
  <si>
    <t>Publicação de resultados de análise de desempenho e cobertura territorial das operações, com o objetivo de avaliar o impacto das ações de fiscalização e garantir a alocação adequada e sustentada de recursos</t>
  </si>
  <si>
    <t>6.1.3</t>
  </si>
  <si>
    <r>
      <t xml:space="preserve">Elaborar o </t>
    </r>
    <r>
      <rPr>
        <b/>
        <sz val="10"/>
        <color theme="1"/>
        <rFont val="Open Sans"/>
        <family val="2"/>
      </rPr>
      <t>Manual Estadual de Procedimentos Operacionais Padrão (POP)</t>
    </r>
    <r>
      <rPr>
        <sz val="10"/>
        <color theme="1"/>
        <rFont val="Open Sans"/>
        <family val="2"/>
      </rPr>
      <t xml:space="preserve"> para Fiscalização em Segurança Viária, reunindo padronização de diretrizes, fluxos e procedimentos operacionais de fiscalização de trânsito urbano e rodoviário</t>
    </r>
  </si>
  <si>
    <t>Publicação do Plano de Trabalho e Cronograma do processo colaborativo de elaboração do manual</t>
  </si>
  <si>
    <t>DER-SP, PRF, PMESP, ARTESP, Órgãos Municipais, Cetran-SP</t>
  </si>
  <si>
    <t>Plano de Trabalho publicado</t>
  </si>
  <si>
    <t>Elaboração e publicação do Manual Estadual de Procedimentos Operacionais Padrão (POP), incluindo a revisão de manuais de procedimento operacional atuais (CPTran/CPRv/PRF)</t>
  </si>
  <si>
    <t>DER-SP, PRF, PMESP, ARTESP, Órgãos Municipais, Órgãos Autuadores, SECOM</t>
  </si>
  <si>
    <t>6.1.4</t>
  </si>
  <si>
    <t>Elaboração de diagnóstico estadual das capacidades municipais de fiscalização</t>
  </si>
  <si>
    <t>Órgãos Municipais, PMESP, Cetran-SP</t>
  </si>
  <si>
    <t>Elaboração e publicação de guia de apoio à estruturação da fiscalização municipal</t>
  </si>
  <si>
    <t>Órgãos Municipais, PMESP</t>
  </si>
  <si>
    <t>Realização de ciclos regionais de capacitação técnica para municípios</t>
  </si>
  <si>
    <t>N° de ciclos de capacitação realizados</t>
  </si>
  <si>
    <t>6.1.5</t>
  </si>
  <si>
    <r>
      <t xml:space="preserve">Promover </t>
    </r>
    <r>
      <rPr>
        <b/>
        <sz val="10"/>
        <color theme="1"/>
        <rFont val="Open Sans"/>
        <family val="2"/>
      </rPr>
      <t>capacitação e intercâmbio técnico</t>
    </r>
    <r>
      <rPr>
        <sz val="10"/>
        <color theme="1"/>
        <rFont val="Open Sans"/>
        <family val="2"/>
      </rPr>
      <t xml:space="preserve"> entre agentes de fiscalização alinhada aos princípios de Visão Zero e do Sistema Seguro</t>
    </r>
  </si>
  <si>
    <t>Elaboração de plano anual de capacitação e intercâmbio técnico</t>
  </si>
  <si>
    <t>ANTT, ARTESP, DER-SP, SEMIL-SP, PRF, PMESP, Órgãos Municipais, Órgãos Autuadores</t>
  </si>
  <si>
    <t>N° de planos publicados</t>
  </si>
  <si>
    <t>Realização de fóruns, workshops e visitas técnicas entre órgãos fiscalizadores</t>
  </si>
  <si>
    <t>N° de fóruns de fiscalização realizads</t>
  </si>
  <si>
    <t>N° de workshops realizados</t>
  </si>
  <si>
    <t>N° de visitas técnicas realizadas</t>
  </si>
  <si>
    <t>Oferecimento de cursos para órgãos conveniados ao Detran-SP por intermédio da plataforma de educação do Detran-SP</t>
  </si>
  <si>
    <t>Órgãos Municipais, Órgãos Autuadores, PMESP, PRF, Cetran-SP</t>
  </si>
  <si>
    <t>Acesso concedido aos cursos</t>
  </si>
  <si>
    <t>6.1.6</t>
  </si>
  <si>
    <r>
      <t xml:space="preserve">Promover sensibilização e cooperação técnica com o </t>
    </r>
    <r>
      <rPr>
        <b/>
        <sz val="10"/>
        <color theme="1"/>
        <rFont val="Open Sans"/>
        <family val="2"/>
      </rPr>
      <t>Poder Judiciário</t>
    </r>
    <r>
      <rPr>
        <sz val="10"/>
        <color theme="1"/>
        <rFont val="Open Sans"/>
        <family val="2"/>
      </rPr>
      <t xml:space="preserve"> sobre segurança viária e processos de infrações</t>
    </r>
  </si>
  <si>
    <t>Realização de encontros e seminários técnicos sobre segurança viária</t>
  </si>
  <si>
    <t>Detran-SP, ANTT, ARTESP, CEAPESV, Cetran-SP, DER-SP, SEDPcD, SDUH, SEMIL-SP, STM, PRF, PMESP, JARIs, Órgãos Municipais, DNIT, Órgãos Autuadores</t>
  </si>
  <si>
    <t>N° de encontros realizados</t>
  </si>
  <si>
    <t>N° de seminários realizados</t>
  </si>
  <si>
    <t>Elaboração e disseminação de materiais de referência para o Judiciário (Cartilha comum/manual com tipos de bloqueio, tanto para judiciário quanto para órgãos)</t>
  </si>
  <si>
    <t>Diretoria de Veículos Automotores (DVA)</t>
  </si>
  <si>
    <t>Cartilha elaborada</t>
  </si>
  <si>
    <t>6.2.1</t>
  </si>
  <si>
    <r>
      <t xml:space="preserve">Produzir </t>
    </r>
    <r>
      <rPr>
        <b/>
        <sz val="10"/>
        <color theme="1"/>
        <rFont val="Open Sans"/>
        <family val="2"/>
      </rPr>
      <t>diagnósticos periódicos</t>
    </r>
    <r>
      <rPr>
        <sz val="10"/>
        <color theme="1"/>
        <rFont val="Open Sans"/>
        <family val="2"/>
      </rPr>
      <t xml:space="preserve"> baseados em evidências para avaliar o impacto das ações de fiscalização</t>
    </r>
  </si>
  <si>
    <t>Elaboração de modelo metodológico de avaliação das ações de fiscalização</t>
  </si>
  <si>
    <t>PMESP, PRF, Órgãos Autuadores, Órgãos Municipais, DER-SP, ARTESP</t>
  </si>
  <si>
    <t>Modelo e avaliação realizados</t>
  </si>
  <si>
    <t>Difusão dos resultados junto aos órgãos estaduais e municipais de fiscalização</t>
  </si>
  <si>
    <t>N° de envios de relatórios para 100% dos órgãos estaduais e municipais de fiscalização a partir de 2028</t>
  </si>
  <si>
    <t>6.2.2</t>
  </si>
  <si>
    <r>
      <t xml:space="preserve">Promover melhorias nos </t>
    </r>
    <r>
      <rPr>
        <b/>
        <sz val="10"/>
        <color theme="1"/>
        <rFont val="Open Sans"/>
        <family val="2"/>
      </rPr>
      <t>sistemas de registro e acompanhamento</t>
    </r>
    <r>
      <rPr>
        <sz val="10"/>
        <color theme="1"/>
        <rFont val="Open Sans"/>
        <family val="2"/>
      </rPr>
      <t xml:space="preserve"> de autuações, assegurando padronização e eficiência</t>
    </r>
  </si>
  <si>
    <t>Realização de diagnóstico do sistema estadual de registro de autuações</t>
  </si>
  <si>
    <t>JARIs, Órgãos Autuadores, Órgãos Municipais, Detran-SP, DER-SP, ARTESP</t>
  </si>
  <si>
    <t>Definição de novos parâmetros técnicos e operacionais para registro e acompanhamento das autuações para acompanhamento de todo o processo das autuações, desde a autuação até o recurso/pagamento</t>
  </si>
  <si>
    <t>ARTESP, DER-SP, Detran-SP, PRF, PMESP, JARIs, Órgãos Municipais, Órgãos Autuadores</t>
  </si>
  <si>
    <t>Parâmetros técnicos e operacionais definidos</t>
  </si>
  <si>
    <t>Implementação de melhorias no sistema de registro e acompanhamento</t>
  </si>
  <si>
    <t>Melhorias implementadas</t>
  </si>
  <si>
    <t>Realização de capacitação dos usuários do sistema</t>
  </si>
  <si>
    <t>DER-SP, ARTESP, Detran-SP, PRF, PMESP, Órgãos Autuadores, Cetran-SP</t>
  </si>
  <si>
    <t>N° de Ciclos de capacitação realizados</t>
  </si>
  <si>
    <t>6.2.3</t>
  </si>
  <si>
    <r>
      <t xml:space="preserve">Realizar </t>
    </r>
    <r>
      <rPr>
        <b/>
        <sz val="10"/>
        <color theme="1"/>
        <rFont val="Open Sans"/>
        <family val="2"/>
      </rPr>
      <t>operações de fiscalização integradas</t>
    </r>
    <r>
      <rPr>
        <sz val="10"/>
        <color theme="1"/>
        <rFont val="Open Sans"/>
        <family val="2"/>
      </rPr>
      <t xml:space="preserve"> entre órgãos municipais, estaduais e do Sistema Nacional de Trânsito, priorizando fatores de risco e áreas críticas</t>
    </r>
  </si>
  <si>
    <t>Elaboração de planejamento integrado das operações de fiscalização, com definição dos comportamentos risco e tipos de fiscalização a serem usados, alocação de recursos e cronograma de patrulhamento focado em público, locais e horários de alto risco</t>
  </si>
  <si>
    <t>DER-SP, ARTESP, PRF, PMESP, Órgãos Autuadores, Cetran-SP</t>
  </si>
  <si>
    <t>N° de Calendários de planejamento integrado publicados</t>
  </si>
  <si>
    <t>Realização de operações integradas de fiscalização, empregando táticas e procedimentos adequados para cada comportamento de risco com foco na dissuasão</t>
  </si>
  <si>
    <t>Órgãos Autuadores</t>
  </si>
  <si>
    <t>% de operações realizadas</t>
  </si>
  <si>
    <t>% de redução da taxa de comportamentos de risco por mil veículos monitorados nas áreas fiscalizadas</t>
  </si>
  <si>
    <t xml:space="preserve">6.2.4
</t>
  </si>
  <si>
    <r>
      <t xml:space="preserve">Qualificar a </t>
    </r>
    <r>
      <rPr>
        <b/>
        <sz val="10"/>
        <color theme="1"/>
        <rFont val="Open Sans"/>
        <family val="2"/>
      </rPr>
      <t xml:space="preserve">gestão e o uso dos equipamentos </t>
    </r>
    <r>
      <rPr>
        <sz val="10"/>
        <color theme="1"/>
        <rFont val="Open Sans"/>
        <family val="2"/>
      </rPr>
      <t>de fiscalização</t>
    </r>
  </si>
  <si>
    <t>Elaboração de guia técnico para gestão e uso dos equipamentos de fiscalização</t>
  </si>
  <si>
    <t>ARTESP, DER-SP, PMESP, Órgãos Municipais, Órgãos Autuadores, PRF, DNIT, ANTT</t>
  </si>
  <si>
    <t>Guia elaborado</t>
  </si>
  <si>
    <t>Definição de requisitos técnicos e operacionais para avaliação dos equipamentos</t>
  </si>
  <si>
    <t>Processo de definição de requisitos concluído</t>
  </si>
  <si>
    <t>Realização de capacitação da gestão, uso e manutenção de equipamentos</t>
  </si>
  <si>
    <t>6.2.5</t>
  </si>
  <si>
    <r>
      <t xml:space="preserve">Otimizar a </t>
    </r>
    <r>
      <rPr>
        <b/>
        <sz val="10"/>
        <color theme="1"/>
        <rFont val="Open Sans"/>
        <family val="2"/>
      </rPr>
      <t>fiscalização eletrônica de velocidade</t>
    </r>
    <r>
      <rPr>
        <sz val="10"/>
        <color theme="1"/>
        <rFont val="Open Sans"/>
        <family val="2"/>
      </rPr>
      <t xml:space="preserve"> em vias, estradas e rodovias prioritárias, com base em dados e evidências</t>
    </r>
  </si>
  <si>
    <t>Realização de estudo técnico e estatístico para identificação de locais prioritários de fiscalização eletrônica, priorizando dados do Infosiga</t>
  </si>
  <si>
    <t>ARTESP, DER-SP, PRF, PMESP, Órgãos Municipais, Cetran-SP</t>
  </si>
  <si>
    <t>Estudo realizado</t>
  </si>
  <si>
    <t>Definição de critérios e parâmetros para instalação de equipamentos de controle de velocidade</t>
  </si>
  <si>
    <t>Processo de definção de critérios e parâmetros concluído</t>
  </si>
  <si>
    <t>Acompanhamento da implantação de equipamentos de fiscalização eletrônica em locais prioritários</t>
  </si>
  <si>
    <t>ARTESP, DER-SP, Órgãos Municipais, Detran-SP, Órgãos Autuadores</t>
  </si>
  <si>
    <t>% dos locais prioritários com equipamentos implantados</t>
  </si>
  <si>
    <t>6.2.6</t>
  </si>
  <si>
    <r>
      <t xml:space="preserve">Fortalecer estratégias de </t>
    </r>
    <r>
      <rPr>
        <b/>
        <sz val="10"/>
        <color theme="1"/>
        <rFont val="Open Sans"/>
        <family val="2"/>
      </rPr>
      <t>prevenção e combate a infratores contumazes</t>
    </r>
    <r>
      <rPr>
        <sz val="10"/>
        <color theme="1"/>
        <rFont val="Open Sans"/>
        <family val="2"/>
      </rPr>
      <t xml:space="preserve"> em comportamentos de risco no trânsito, com uso de tecnologias e interoperabilidades de dados</t>
    </r>
  </si>
  <si>
    <t>Elaboração de plano de ação estadual para prevenção e combate a infratores contumazes</t>
  </si>
  <si>
    <t>PMESP, ARTESP, DER-SP, Órgãos Autuadores</t>
  </si>
  <si>
    <t>Plano de ação elaborado</t>
  </si>
  <si>
    <t>Implantação de mecanismos tecnológicos e integração de bases de dados para detecção de veículos de infratores contumazes</t>
  </si>
  <si>
    <t>Detecção de veículos de infratores contumazes implantada</t>
  </si>
  <si>
    <t xml:space="preserve">6.2.7
</t>
  </si>
  <si>
    <t>Diagnóstico sobre fiscalização de limites de velocidade, critérios de concessão, padrões de equipamentos e procedimentos de fiscalização junto aos órgãos competentes e concessionárias</t>
  </si>
  <si>
    <t>Subsecretaria de Logística e Transporte (SLT)</t>
  </si>
  <si>
    <t>ARTESP, DER-SP, PMESP, Órgãos Municipais, PRF, DNIT, ANTT</t>
  </si>
  <si>
    <t xml:space="preserve">% dos órgãos de fiscalização e concessionárias consultados </t>
  </si>
  <si>
    <t>Elaboração de termo técnico com boas práticas de fiscalização de limites de velocidade</t>
  </si>
  <si>
    <t>ARTESP, DER-SP, PMESP, Órgãos Municipais, PRF, DNIT, ANTT, Detran-SP</t>
  </si>
  <si>
    <t>Termo elaborado</t>
  </si>
  <si>
    <t>Elaboração de proposta de atualização dos critérios de concessão de rodovias à iniciativa privada</t>
  </si>
  <si>
    <t>ARTESP, DER-SP, Detran-SP, PMESP, Órgãos Municipais, DNIT</t>
  </si>
  <si>
    <t>Proposta elaborada</t>
  </si>
  <si>
    <t>6.3.1</t>
  </si>
  <si>
    <t>Elaboração de catálogo de boas práticas e soluções tecnológicas em fiscalização de trânsito</t>
  </si>
  <si>
    <t>Catálogo elaborado</t>
  </si>
  <si>
    <t>Realização de encontros e oficinas técnicas para disseminação de boas práticas</t>
  </si>
  <si>
    <t>N° de encontros/oficinas realizados</t>
  </si>
  <si>
    <t>6.3.2</t>
  </si>
  <si>
    <r>
      <t xml:space="preserve">Estabelecer convênios com academia e setor privado para </t>
    </r>
    <r>
      <rPr>
        <b/>
        <sz val="10"/>
        <color theme="1"/>
        <rFont val="Open Sans"/>
        <family val="2"/>
      </rPr>
      <t>Pesquisa e Desenvolvimento (P&amp;D) em tecnologias de fiscalização e monitoramento</t>
    </r>
  </si>
  <si>
    <t xml:space="preserve">Diretoria de Segurança Viária (DSV) </t>
  </si>
  <si>
    <t>Academia, Institutos de Pesquisa, ONGs, ARTESP, DER-SP</t>
  </si>
  <si>
    <t>Elaboração de plano de trabalho para execução dos projetos de P&amp;D</t>
  </si>
  <si>
    <t>Academia, Institutos de Pesquisa, ONGs</t>
  </si>
  <si>
    <t>Plano de Trabalho elaborado</t>
  </si>
  <si>
    <t>6.3.3</t>
  </si>
  <si>
    <r>
      <t xml:space="preserve">Modernizar a </t>
    </r>
    <r>
      <rPr>
        <b/>
        <sz val="10"/>
        <color theme="1"/>
        <rFont val="Open Sans"/>
        <family val="2"/>
      </rPr>
      <t>lavratura e o processamento dos autos de infração</t>
    </r>
    <r>
      <rPr>
        <sz val="10"/>
        <color theme="1"/>
        <rFont val="Open Sans"/>
        <family val="2"/>
      </rPr>
      <t>, com uso de tecnologias digitais integradas e aperfeiçoamento das fases de comunicação, recurso e defesa</t>
    </r>
  </si>
  <si>
    <t>Órgãos Municipais, Cetran-SP</t>
  </si>
  <si>
    <t>Avaliação da estrutura técnica das cidades interessadas e adequação de sistemas para integração</t>
  </si>
  <si>
    <t>Avaliação elaborada</t>
  </si>
  <si>
    <t>Implementação dos sistemas digitais de lavratura e processamento de autos de infração</t>
  </si>
  <si>
    <t>Sistemas digitiais implementados</t>
  </si>
  <si>
    <t xml:space="preserve">7.1.1
</t>
  </si>
  <si>
    <r>
      <t xml:space="preserve">Estimular a </t>
    </r>
    <r>
      <rPr>
        <b/>
        <sz val="10"/>
        <color theme="1"/>
        <rFont val="Open Sans"/>
        <family val="2"/>
      </rPr>
      <t>manutenção preventiva periódica</t>
    </r>
    <r>
      <rPr>
        <sz val="10"/>
        <color theme="1"/>
        <rFont val="Open Sans"/>
        <family val="2"/>
      </rPr>
      <t xml:space="preserve"> de veículos de transporte de passageiros e de carga, com cronogramas amplamente divulgados e plano de fiscalização contínua</t>
    </r>
  </si>
  <si>
    <t>Elaboração de manual de procedimentos de fiscalização de veículos de grande porte, com foco nos sistemas de segurança</t>
  </si>
  <si>
    <t>DER-SP, ARTESP, ARSESP, ANTT, PMESP, PRF</t>
  </si>
  <si>
    <t>Capacitação do manual de procedimentos de fiscalização de veículos de grande porte para equipes de fiscalização</t>
  </si>
  <si>
    <t>EGESP</t>
  </si>
  <si>
    <t>N° de ciclos de capacitação</t>
  </si>
  <si>
    <t>Edição de portaria administrativa contendo critérios de manutenção e cronogramas anuais de vistoria técnica</t>
  </si>
  <si>
    <t>Portaria editada</t>
  </si>
  <si>
    <t>Fiscalização sistemática do cumprimento dos cronogramas de manutenção</t>
  </si>
  <si>
    <t>PMESP, PRF, Guardas Municipais</t>
  </si>
  <si>
    <t>% da frota do estado vistoriada</t>
  </si>
  <si>
    <t>Estabelecimento de parcerias para ações educativas sobre manutenção preventiva e responsabilidade no trânsito</t>
  </si>
  <si>
    <t>SEDUC, DER-SP, ARTESP, PRF, ANTT, DNIT</t>
  </si>
  <si>
    <t>N° de parcerias estabelecidas</t>
  </si>
  <si>
    <t>7.1.2</t>
  </si>
  <si>
    <r>
      <t xml:space="preserve">Fomentar inspeções periódicas em </t>
    </r>
    <r>
      <rPr>
        <b/>
        <sz val="10"/>
        <color theme="1"/>
        <rFont val="Open Sans"/>
        <family val="2"/>
      </rPr>
      <t>veículos de transporte coletivo, escolar, de carga e de aprendizagem</t>
    </r>
    <r>
      <rPr>
        <sz val="10"/>
        <color theme="1"/>
        <rFont val="Open Sans"/>
        <family val="2"/>
      </rPr>
      <t>, garantindo o cumprimento de critérios rigorosos de segurança</t>
    </r>
  </si>
  <si>
    <t>Elaboração de procedimento estadual padrão de vistoria para veículos de transporte de carga e passageiros, com periodicidade e critérios técnicos definidos para diferentes tipos de veículos</t>
  </si>
  <si>
    <t>Processo elaborado</t>
  </si>
  <si>
    <t>Edição de portaria com parâmetros mínimos de segurança para inspeções</t>
  </si>
  <si>
    <t>Elaboração de diagnóstico sobre a cobertura regional das ITLs no Estado, relatório de expansão e resultados das ITLs</t>
  </si>
  <si>
    <t>INMETRO</t>
  </si>
  <si>
    <t>Diagnóstico elaborado</t>
  </si>
  <si>
    <t>Realização de vistorias periódicas em frotas de transporte escolar e por aplicativos</t>
  </si>
  <si>
    <t>% da frota de transporte escolar vistoriada</t>
  </si>
  <si>
    <t>% de frota de aplicativo vistoriada</t>
  </si>
  <si>
    <t>7.1.3</t>
  </si>
  <si>
    <r>
      <t xml:space="preserve">Aprimorar o uso de dados para identificação de </t>
    </r>
    <r>
      <rPr>
        <b/>
        <sz val="10"/>
        <color theme="1"/>
        <rFont val="Open Sans"/>
        <family val="2"/>
      </rPr>
      <t>falhas de segurança e direcionamento de recalls</t>
    </r>
    <r>
      <rPr>
        <sz val="10"/>
        <color theme="1"/>
        <rFont val="Open Sans"/>
        <family val="2"/>
      </rPr>
      <t xml:space="preserve"> junto às montadoras, ampliando transparência e alcance das campanhas</t>
    </r>
  </si>
  <si>
    <t>Elaboração de estudo para avaliação de viabilidade jurídica para integração de bases de dados entre Detrans e montadoras</t>
  </si>
  <si>
    <t>Montadoras</t>
  </si>
  <si>
    <t>Edição de normativa para compartilhamento de informações sobre campanhas de recall</t>
  </si>
  <si>
    <t>Normativa editada</t>
  </si>
  <si>
    <t>Criação de sistema de integração de dados entre Detrans e montadoras</t>
  </si>
  <si>
    <t>7.1.4</t>
  </si>
  <si>
    <r>
      <rPr>
        <sz val="10"/>
        <color rgb="FF2C2C4D"/>
        <rFont val="Open Sans"/>
        <family val="2"/>
      </rPr>
      <t xml:space="preserve">Estudar políticas de </t>
    </r>
    <r>
      <rPr>
        <b/>
        <sz val="10"/>
        <color rgb="FF2C2C4D"/>
        <rFont val="Open Sans"/>
        <family val="2"/>
      </rPr>
      <t>incentivo à renovação de frota de segmentos críticos</t>
    </r>
    <r>
      <rPr>
        <sz val="10"/>
        <color rgb="FF2C2C4D"/>
        <rFont val="Open Sans"/>
        <family val="2"/>
      </rPr>
      <t xml:space="preserve"> (motofrete, transporte escolar, ônibus intermunicipais)</t>
    </r>
  </si>
  <si>
    <t>Elaboração de estudo piloto sobre a frota circulante envolvida em sinistros de trânsito na Cidade de São Paulo para embasar políticas de renovação de frota</t>
  </si>
  <si>
    <t>Detran-SP, SEMIL-SP, SGGD, Casa Civil, SGRI, SEFAZ</t>
  </si>
  <si>
    <t>Estudo elaborado</t>
  </si>
  <si>
    <t>Elaboração de estudo sobre mecanismos de incentivo voltados à renovação de frota para segmentos críticos</t>
  </si>
  <si>
    <t>Montadoras, SEMIL-SP, SGGD, Casa Civil, SGRI, SEFAZ</t>
  </si>
  <si>
    <t xml:space="preserve">7.1.5
</t>
  </si>
  <si>
    <r>
      <t xml:space="preserve">Editar normativa estadual exigindo </t>
    </r>
    <r>
      <rPr>
        <b/>
        <sz val="10"/>
        <color theme="1"/>
        <rFont val="Open Sans"/>
        <family val="2"/>
      </rPr>
      <t xml:space="preserve">cláusulas de manutenção preventiva </t>
    </r>
    <r>
      <rPr>
        <sz val="10"/>
        <color theme="1"/>
        <rFont val="Open Sans"/>
        <family val="2"/>
      </rPr>
      <t xml:space="preserve">certificada em contratos de frotas públicas </t>
    </r>
    <r>
      <rPr>
        <sz val="10"/>
        <color rgb="FF000000"/>
        <rFont val="Open Sans"/>
        <family val="2"/>
      </rPr>
      <t>e concessionadas</t>
    </r>
  </si>
  <si>
    <t>Edição de norma estadual sobre cláusulas obrigatórias de manutenção preventiva em contratos públicos e concessionados, incluindo tecnologias mínimas de segurança em frotas públicas e concessionadas</t>
  </si>
  <si>
    <t>DER-SP, ARTESP, ARSESP, ALESP</t>
  </si>
  <si>
    <t>Norma editada</t>
  </si>
  <si>
    <t>Publicação de guia técnico sobre manutenção certificada em frotas públicas</t>
  </si>
  <si>
    <t>7.1.6</t>
  </si>
  <si>
    <r>
      <t xml:space="preserve">Regulamentar a </t>
    </r>
    <r>
      <rPr>
        <b/>
        <sz val="10"/>
        <color theme="1"/>
        <rFont val="Open Sans"/>
        <family val="2"/>
      </rPr>
      <t>reinserção de veículos leiloados na frota</t>
    </r>
    <r>
      <rPr>
        <sz val="10"/>
        <color theme="1"/>
        <rFont val="Open Sans"/>
        <family val="2"/>
      </rPr>
      <t>, por meio de inspeções rigorosas de segurança, evitando a circulação de veículos sinistrados ou tecnicamente e estruturalmente condenados</t>
    </r>
  </si>
  <si>
    <t>Sugestão de legislação estadual com critérios técnicos e procedimentos de inspeção para reinserção de veículos leiloados</t>
  </si>
  <si>
    <t>Detran-SP, SGRI, SSP, Casa Civil</t>
  </si>
  <si>
    <t>Legislação estadual editada</t>
  </si>
  <si>
    <t>Integração de informações entre boletins de ocorrência e histórico do veículo no Detran-SP</t>
  </si>
  <si>
    <t>Assessoria Policial</t>
  </si>
  <si>
    <t>Integração instituída</t>
  </si>
  <si>
    <t>Criação de banco de dados estadual de veículos recondicionados e reinspecionados</t>
  </si>
  <si>
    <t>Banco de dados criado</t>
  </si>
  <si>
    <t>7.1.7</t>
  </si>
  <si>
    <r>
      <t xml:space="preserve">Estudar a implementação de medidas de </t>
    </r>
    <r>
      <rPr>
        <b/>
        <sz val="10"/>
        <color theme="1"/>
        <rFont val="Open Sans"/>
        <family val="2"/>
      </rPr>
      <t>certificação e rastreabilidade de peças automotivas</t>
    </r>
    <r>
      <rPr>
        <sz val="10"/>
        <color theme="1"/>
        <rFont val="Open Sans"/>
        <family val="2"/>
      </rPr>
      <t>, evitando a utilização de peças falsas</t>
    </r>
  </si>
  <si>
    <t>Elaboração de estudo técnico sobre viabilidade da rastreabilidade e certificação de peças automotivas</t>
  </si>
  <si>
    <t>Montadoras, SSP</t>
  </si>
  <si>
    <t>Elaboração de proposta conjunta de regulamentação estadual sobre rastreabilidade de peças, com participação da Polícia Civil e órgãos de controle, Ministério Público, Órgãos de Defesa do Consumidor</t>
  </si>
  <si>
    <t>Min. Público, SSP, PROCON</t>
  </si>
  <si>
    <t xml:space="preserve">7.2.1
</t>
  </si>
  <si>
    <r>
      <t xml:space="preserve">Articular junto ao Governo Federal e Secretaria Nacional de Trânsito a </t>
    </r>
    <r>
      <rPr>
        <b/>
        <sz val="10"/>
        <color theme="1"/>
        <rFont val="Open Sans"/>
        <family val="2"/>
      </rPr>
      <t>ampliação de critérios obrigatórios de tecnologias de segurança</t>
    </r>
    <r>
      <rPr>
        <sz val="10"/>
        <color theme="1"/>
        <rFont val="Open Sans"/>
        <family val="2"/>
      </rPr>
      <t xml:space="preserve"> em veículos produzidos e comercializados no Brasil</t>
    </r>
  </si>
  <si>
    <t>Elaboração de procedimento administrativo estadual para envio de sugestões</t>
  </si>
  <si>
    <t>Procedimento enviado</t>
  </si>
  <si>
    <t>Criação de canal de interlocução permanente com órgãos federais e montadoras</t>
  </si>
  <si>
    <t>Canal criado</t>
  </si>
  <si>
    <t>7.2.2</t>
  </si>
  <si>
    <r>
      <t xml:space="preserve">Articular junto à Secretaria Nacional de Trânsito a criação de </t>
    </r>
    <r>
      <rPr>
        <b/>
        <sz val="10"/>
        <color theme="1"/>
        <rFont val="Open Sans"/>
        <family val="2"/>
      </rPr>
      <t>selo de certificação de segurança</t>
    </r>
    <r>
      <rPr>
        <sz val="10"/>
        <color theme="1"/>
        <rFont val="Open Sans"/>
        <family val="2"/>
      </rPr>
      <t xml:space="preserve"> para veículos produzidos no Brasil e importados, e de </t>
    </r>
    <r>
      <rPr>
        <b/>
        <sz val="10"/>
        <color theme="1"/>
        <rFont val="Open Sans"/>
        <family val="2"/>
      </rPr>
      <t>documento digital</t>
    </r>
    <r>
      <rPr>
        <sz val="10"/>
        <color theme="1"/>
        <rFont val="Open Sans"/>
        <family val="2"/>
      </rPr>
      <t xml:space="preserve"> contendo histórico completo do veículo</t>
    </r>
  </si>
  <si>
    <t>Elaboração de proposta técnica de selo de certificação de segurança veicular</t>
  </si>
  <si>
    <t>Proposta enviada</t>
  </si>
  <si>
    <t>Elaboração de minuta de documento digital com histórico do veículo e critérios de atualização</t>
  </si>
  <si>
    <t>7.2.3</t>
  </si>
  <si>
    <r>
      <t xml:space="preserve">Articular junto ao Governo Federal a criação de legislação que determine a </t>
    </r>
    <r>
      <rPr>
        <b/>
        <sz val="10"/>
        <color theme="1"/>
        <rFont val="Open Sans"/>
        <family val="2"/>
      </rPr>
      <t>instalação de registradores de dados e informações</t>
    </r>
    <r>
      <rPr>
        <sz val="10"/>
        <color theme="1"/>
        <rFont val="Open Sans"/>
        <family val="2"/>
      </rPr>
      <t xml:space="preserve"> (</t>
    </r>
    <r>
      <rPr>
        <i/>
        <sz val="10"/>
        <color theme="1"/>
        <rFont val="Open Sans"/>
        <family val="2"/>
      </rPr>
      <t>event data recorders</t>
    </r>
    <r>
      <rPr>
        <sz val="10"/>
        <color theme="1"/>
        <rFont val="Open Sans"/>
        <family val="2"/>
      </rPr>
      <t>) em veículos</t>
    </r>
  </si>
  <si>
    <t>Elaboração de proposta técnica e jurídica para obrigatoriedade de registradores de dados em veículos</t>
  </si>
  <si>
    <t xml:space="preserve">7.3.1
</t>
  </si>
  <si>
    <r>
      <t xml:space="preserve">Instituir, no âmbito do Sistran-SP, </t>
    </r>
    <r>
      <rPr>
        <b/>
        <sz val="10"/>
        <color theme="1"/>
        <rFont val="Open Sans"/>
        <family val="2"/>
      </rPr>
      <t>fórum permanente de governança da segurança veicular</t>
    </r>
    <r>
      <rPr>
        <sz val="10"/>
        <color theme="1"/>
        <rFont val="Open Sans"/>
        <family val="2"/>
      </rPr>
      <t>, com participação de órgãos estaduais, federais, municípios, concessionárias, montadoras, entidades técnicas e organizações da sociedade civil</t>
    </r>
  </si>
  <si>
    <t>Elaboração de proposta de modelo de governança participativa para segurança veicular</t>
  </si>
  <si>
    <t>DER-SP, ARTESP, ARSESP, Detran-SP</t>
  </si>
  <si>
    <t>Publicação de ato instituindo o fórum estadual de segurança veicular</t>
  </si>
  <si>
    <t>Ato publicado</t>
  </si>
  <si>
    <t>Realização de reuniões e encontros técnicos periódicos com participação de representantes públicos e privados</t>
  </si>
  <si>
    <t>N° de reuniões</t>
  </si>
  <si>
    <t>7.3.2</t>
  </si>
  <si>
    <r>
      <t xml:space="preserve">Promover </t>
    </r>
    <r>
      <rPr>
        <b/>
        <sz val="10"/>
        <color theme="1"/>
        <rFont val="Open Sans"/>
        <family val="2"/>
      </rPr>
      <t>capacitação e espaços de intercâmbio técnico</t>
    </r>
    <r>
      <rPr>
        <sz val="10"/>
        <color theme="1"/>
        <rFont val="Open Sans"/>
        <family val="2"/>
      </rPr>
      <t xml:space="preserve"> entre servidores, municípios e instituições do setor automotivo, padronizando práticas e fortalecendo capacidades em inspeção e segurança veicular</t>
    </r>
  </si>
  <si>
    <t>Calendário inicial elaborado</t>
  </si>
  <si>
    <t>N° de atualizações do calendário</t>
  </si>
  <si>
    <t>DER-SP, ARTESP, ARSESP, PMESP, SSP, PRF</t>
  </si>
  <si>
    <t>Elaboração de materiais técnicos e guias de boas práticas</t>
  </si>
  <si>
    <t>% do Material técnico elaborado</t>
  </si>
  <si>
    <t>7.3.3</t>
  </si>
  <si>
    <r>
      <t xml:space="preserve">Produzir pareceres técnicos e análises jurídicas periódicas sobre </t>
    </r>
    <r>
      <rPr>
        <b/>
        <sz val="10"/>
        <color theme="1"/>
        <rFont val="Open Sans"/>
        <family val="2"/>
      </rPr>
      <t>normas e regulamentações de segurança veicular</t>
    </r>
    <r>
      <rPr>
        <sz val="10"/>
        <color theme="1"/>
        <rFont val="Open Sans"/>
        <family val="2"/>
      </rPr>
      <t>, para subsidiar processos de revisão e tomada de decisão</t>
    </r>
  </si>
  <si>
    <t>Elaboração de proposta de atualização regulatória e aprimoramento de critérios de segurança veicular, juntamente com pareceres e análises sobre a regulação a ser atualizada</t>
  </si>
  <si>
    <t>Divulgação dos pareceres e recomendações em ambiente digital acessível</t>
  </si>
  <si>
    <t>% Pareceres divulgados</t>
  </si>
  <si>
    <t>8.1.1</t>
  </si>
  <si>
    <r>
      <t xml:space="preserve">Articular órgãos envolvidos nos chamados de emergência para </t>
    </r>
    <r>
      <rPr>
        <b/>
        <sz val="10"/>
        <color theme="1"/>
        <rFont val="Open Sans"/>
        <family val="2"/>
      </rPr>
      <t>integrar chamamento e triagem</t>
    </r>
    <r>
      <rPr>
        <sz val="10"/>
        <color theme="1"/>
        <rFont val="Open Sans"/>
        <family val="2"/>
      </rPr>
      <t xml:space="preserve"> em sinistros de trânsito</t>
    </r>
  </si>
  <si>
    <t>Mapeamento e diagnóstico dos fluxos de atendimento e acionamento entre os diferentes serviços de emergência</t>
  </si>
  <si>
    <t>Polícia Militar do Estado de São Paulo (PMESP)</t>
  </si>
  <si>
    <t>SES-SP, Secretarias municipais de saúde</t>
  </si>
  <si>
    <t>Definição do modelo de governança e das responsabilidades de cada órgão sistema estadual de resposta a emergências</t>
  </si>
  <si>
    <t>Corpo de Bombeiros da Polícia Militar do Estado de São Paulo (CBPMESP)</t>
  </si>
  <si>
    <t>Modelos definidos</t>
  </si>
  <si>
    <t>Elaboração de protocolo unificado de triagem e acionamento, com critérios padronizados para priorização e despacho de recursos</t>
  </si>
  <si>
    <t>8.1.2</t>
  </si>
  <si>
    <r>
      <t xml:space="preserve">Planejar estrategicamente a </t>
    </r>
    <r>
      <rPr>
        <b/>
        <sz val="10"/>
        <color theme="1"/>
        <rFont val="Open Sans"/>
        <family val="2"/>
      </rPr>
      <t>alocação espacial do efetivo de resposta a emergências</t>
    </r>
    <r>
      <rPr>
        <sz val="10"/>
        <color theme="1"/>
        <rFont val="Open Sans"/>
        <family val="2"/>
      </rPr>
      <t>, prevendo aumento da quantidade de profissionais e de veículos de atendimento</t>
    </r>
  </si>
  <si>
    <t>Mapeamento e diagnóstico da cobertura atual dos serviços de emergência e identificação das áreas com maior demanda por atendimentos</t>
  </si>
  <si>
    <t>Mapeamento e diagnóstico realizado</t>
  </si>
  <si>
    <t>Proposição de modelo de planejamento territorial da resposta a emergências, considerando tempos de deslocamento e tempo de resposta ideal, densidade populacional e perfil dos sinistros</t>
  </si>
  <si>
    <t>Modelo proposto</t>
  </si>
  <si>
    <t>Elaboração do diagnóstico da necessidade de expansão da frota de suporte avançado e veículos rápidos de intervenção (VIRs) juntamente com diagnostico regional de ampliação das equipes multiprofissionais de atendimento pré-hospitalar</t>
  </si>
  <si>
    <t>Grupo de Resgate e Atenção às Urgências (GRAU)</t>
  </si>
  <si>
    <t>Secretarias municipais de saúde, SSP</t>
  </si>
  <si>
    <t>Diagóstico elaborado</t>
  </si>
  <si>
    <t>Integração dos dados operacionais de atendimento de emergência ao sistema SIRESP, Grupo de Resgate - GRAU, e-SUS e Infosiga, ampliando a capacidade analítica e de monitoramento do sistema</t>
  </si>
  <si>
    <t>8.1.3</t>
  </si>
  <si>
    <r>
      <t xml:space="preserve">Revisar continuamente os </t>
    </r>
    <r>
      <rPr>
        <b/>
        <sz val="10"/>
        <color theme="1"/>
        <rFont val="Open Sans"/>
        <family val="2"/>
      </rPr>
      <t xml:space="preserve">protocolos </t>
    </r>
    <r>
      <rPr>
        <sz val="10"/>
        <color theme="1"/>
        <rFont val="Open Sans"/>
        <family val="2"/>
      </rPr>
      <t>de atendimento pré-hospitalar e compatibilizar com os hospitalares</t>
    </r>
  </si>
  <si>
    <t>Realização de inventário dos protocolos existentes de atendimento pré-hospitalar</t>
  </si>
  <si>
    <t>Inventário realizado</t>
  </si>
  <si>
    <t>Compatibilização dos protocolos de atendimento pré-hospitalar e hospitalar</t>
  </si>
  <si>
    <t>Compatibilização realizada</t>
  </si>
  <si>
    <t>Compatibilização de protocolos conjuntos de atendimento</t>
  </si>
  <si>
    <t xml:space="preserve">GT VIOLÊNCIAS </t>
  </si>
  <si>
    <t>Atualização dos planos regionais da Rede de Urgência e Emergência (RUE)</t>
  </si>
  <si>
    <t>Rede de Atenção às Urgências e Emergências (RUE)</t>
  </si>
  <si>
    <t>Planos regionais atualizados</t>
  </si>
  <si>
    <t>Capacitação continuada das equipes de atendimento, assegurando aplicação uniforme dos protocolos</t>
  </si>
  <si>
    <t>Nº de ciclo(s) de capacitação realizado(s)</t>
  </si>
  <si>
    <t>Realização de simulados integrados de atendimento pré-hospitalar e hospitalar a vítimas de sinistros de trânsito</t>
  </si>
  <si>
    <t>Nº de simulado(s) integrado(s) realizado(s)</t>
  </si>
  <si>
    <t>8.1.4</t>
  </si>
  <si>
    <r>
      <t xml:space="preserve">Estabelecer parcerias entre órgãos envolvidos no atendimento pré-hospitalar e órgãos municipais de trânsito para estabelecimento de </t>
    </r>
    <r>
      <rPr>
        <b/>
        <sz val="10"/>
        <color theme="1"/>
        <rFont val="Open Sans"/>
        <family val="2"/>
      </rPr>
      <t>procedimentos de priorização de circulação</t>
    </r>
    <r>
      <rPr>
        <sz val="10"/>
        <color theme="1"/>
        <rFont val="Open Sans"/>
        <family val="2"/>
      </rPr>
      <t xml:space="preserve"> das ambulâncias e viaturas</t>
    </r>
  </si>
  <si>
    <t>Definição de responsabilidades e fluxos individuais e conjuntos de trabalho voltados à priorização de circulação de ambulâncias e viaturas</t>
  </si>
  <si>
    <t>Órgaos Municipais</t>
  </si>
  <si>
    <t>Responsabilidades e fluxos definidos</t>
  </si>
  <si>
    <t>Estudo para integração entre sistemas de trânsito para priorização de tráfego dos veículos de emergência, com avaliação de boas práticas já utilizadas e diretrizes para aplicação nos demais municípios</t>
  </si>
  <si>
    <t>8.1.5</t>
  </si>
  <si>
    <r>
      <t xml:space="preserve">Ampliar </t>
    </r>
    <r>
      <rPr>
        <b/>
        <sz val="10"/>
        <color theme="1"/>
        <rFont val="Open Sans"/>
        <family val="2"/>
      </rPr>
      <t>capacitação em Suporte Básico de Vida (SBV)</t>
    </r>
  </si>
  <si>
    <t>Elaboração da matriz curricular e estrutura do curso de Capacitação sobre Suporte Básico de Vida (SBV) e público alvo</t>
  </si>
  <si>
    <t>SSP, Detran-SP</t>
  </si>
  <si>
    <t>Matriz e estrutura do curso elaborada</t>
  </si>
  <si>
    <t>Realização de programa de capacitação em Suporte Básico de Vida (SBV), direcionado a CFCs, universidades, professores de educação física, profissionais de mobilidade, motociclistas, condutores de transporte coletivo</t>
  </si>
  <si>
    <t>8.2.1</t>
  </si>
  <si>
    <r>
      <t xml:space="preserve">Fortalecer a </t>
    </r>
    <r>
      <rPr>
        <b/>
        <sz val="10"/>
        <color theme="1"/>
        <rFont val="Open Sans"/>
        <family val="2"/>
      </rPr>
      <t>rede estadual integrada de atendimento hospitalar</t>
    </r>
  </si>
  <si>
    <t>Formalização de acordos de cooperação entre instituições de suporte pós-hospitalar, assegurando acompanhamento e cuidado integral após a redução do risco do paciente</t>
  </si>
  <si>
    <t>Secretarias municipais de saúde, Detran-SP</t>
  </si>
  <si>
    <t>% de Acordos formalizados</t>
  </si>
  <si>
    <t xml:space="preserve">Inclusão de novos membros para ampliação do Grupo de Trabalho de discussão da rede hospitalar </t>
  </si>
  <si>
    <t>Coordenação-Geral de Coordenação de Serviços de Saúde (CGCSS)</t>
  </si>
  <si>
    <t>Secretarias municipais de saúde</t>
  </si>
  <si>
    <t>Processo de inclusão de novos membros incluídos</t>
  </si>
  <si>
    <t>8.2.2</t>
  </si>
  <si>
    <r>
      <t xml:space="preserve">Integrar os </t>
    </r>
    <r>
      <rPr>
        <b/>
        <sz val="10"/>
        <color theme="1"/>
        <rFont val="Open Sans"/>
        <family val="2"/>
      </rPr>
      <t>sistemas de informação de saúde</t>
    </r>
  </si>
  <si>
    <t>Formalização de acordos de cooperação técnica para integração entre os sistemas de informação</t>
  </si>
  <si>
    <t>Gabinete SES</t>
  </si>
  <si>
    <t>% de Acordos de cooperação formalizados</t>
  </si>
  <si>
    <t>Integração entre os sistemas de informação de saúde existentes e o Infosiga, permitindo cruzamento de dados e análise em tempo real de sinistros e desfechos clínicos</t>
  </si>
  <si>
    <t>8.2.3</t>
  </si>
  <si>
    <r>
      <t xml:space="preserve">Promover </t>
    </r>
    <r>
      <rPr>
        <b/>
        <sz val="10"/>
        <color rgb="FF2C2C4D"/>
        <rFont val="Open Sans"/>
        <family val="2"/>
      </rPr>
      <t>capacitação continuada para equipes multiprofissionais de urgência e emergência</t>
    </r>
    <r>
      <rPr>
        <sz val="10"/>
        <color rgb="FF2C2C4D"/>
        <rFont val="Open Sans"/>
        <family val="2"/>
      </rPr>
      <t>, com inclusão de protocolos de cuidado integral das vítimas e familiares</t>
    </r>
  </si>
  <si>
    <t>Formalização de parcerias com universidades e centros de pesquisa, para apoio técnico, desenvolvimento de conteúdos e avaliação das capacitações</t>
  </si>
  <si>
    <t>Institutos de Pesquisa, Academia</t>
  </si>
  <si>
    <t>% de Parcerias formalizadas</t>
  </si>
  <si>
    <t>Capacitação continuada, abordando protocolos clínicos integrados que favoreçam a reabilitação das vítimas</t>
  </si>
  <si>
    <t>8.3.1</t>
  </si>
  <si>
    <r>
      <t xml:space="preserve">Promover o </t>
    </r>
    <r>
      <rPr>
        <b/>
        <sz val="10"/>
        <color theme="1"/>
        <rFont val="Open Sans"/>
        <family val="2"/>
      </rPr>
      <t>cuidado especializado e humanizado</t>
    </r>
    <r>
      <rPr>
        <sz val="10"/>
        <color theme="1"/>
        <rFont val="Open Sans"/>
        <family val="2"/>
      </rPr>
      <t xml:space="preserve"> às vítimas de sinistros e seus familiares</t>
    </r>
  </si>
  <si>
    <t>Elaboração de protocolo estadual voltado ao cuidado integral às vítimas de sinistros e seus familiares</t>
  </si>
  <si>
    <t>Detran-SP, SEDS</t>
  </si>
  <si>
    <t>Elaboração do plano de capacitação continuada para profissionais de saúde e assistência social, com foco em atendimento humanizado e comunicação sensível com vítimas e familiares</t>
  </si>
  <si>
    <t>Detran-SP, SEDS, SEDPcD</t>
  </si>
  <si>
    <t>Plano de capacitação elaborado</t>
  </si>
  <si>
    <t>Desenvolvimento de campanhas de sensibilização sobre a importância da reabilitação física e psicológica e do apoio familiar no processo de recuperação</t>
  </si>
  <si>
    <t>Detran-SP, ARTESP, SECOM</t>
  </si>
  <si>
    <t>N° de campanhas de sensibilização desenvolvidas</t>
  </si>
  <si>
    <t>8.4.1</t>
  </si>
  <si>
    <r>
      <rPr>
        <sz val="10"/>
        <color rgb="FF2C2C4D"/>
        <rFont val="Open Sans"/>
        <family val="2"/>
      </rPr>
      <t xml:space="preserve">Definir padrão e diretrizes de atendimento ao trauma, com diretrizes obrigatórias de atenção integral ao trauma nos </t>
    </r>
    <r>
      <rPr>
        <b/>
        <sz val="10"/>
        <color rgb="FF2C2C4D"/>
        <rFont val="Open Sans"/>
        <family val="2"/>
      </rPr>
      <t>contratos de concessão de rodovias</t>
    </r>
    <r>
      <rPr>
        <sz val="10"/>
        <color rgb="FF2C2C4D"/>
        <rFont val="Open Sans"/>
        <family val="2"/>
      </rPr>
      <t>, assegurando atendimento rápido e qualificado às vítimas</t>
    </r>
  </si>
  <si>
    <t>Elaboração de Protocolo Estadual de Atendimento ao Trauma em Rodovias, alinhado às diretrizes do Ministério da Saúde, Rede de Urgência e Emergência (RUE) e Grupo de Resgate (GRAU)</t>
  </si>
  <si>
    <t>Detran-SP, ARTESP, DER-SP</t>
  </si>
  <si>
    <t>Protocolo desenolvido</t>
  </si>
  <si>
    <t>Revisão dos contratos de concessão vigentes para inclusão de novas diretrizes técnicas para atendimento e revisão de cláusulas existentes sobre qualidade, transparência e penalidades em caso de descumprimento</t>
  </si>
  <si>
    <t>Detran-SP, DER-SP, SES-SP</t>
  </si>
  <si>
    <t>% dos Contratos revisados</t>
  </si>
  <si>
    <t>Realização de monitoramento e auditoria do parâmetros operacionais de atendimento ao trauma nas rodovias concedidas</t>
  </si>
  <si>
    <t>N° de auditorias realizadas</t>
  </si>
  <si>
    <t>Elaboração de campanha pública de orientação à população sobre procedimentos em caso de sinistro em rodovias</t>
  </si>
  <si>
    <t>Detran-SP, DER-SP, SES-SP, SECOM</t>
  </si>
  <si>
    <t>N° de campanhas veiculadas</t>
  </si>
  <si>
    <t>8.4.2</t>
  </si>
  <si>
    <r>
      <t xml:space="preserve">Definir padrão de </t>
    </r>
    <r>
      <rPr>
        <b/>
        <sz val="10"/>
        <color theme="1"/>
        <rFont val="Open Sans"/>
        <family val="2"/>
      </rPr>
      <t>atendimento a sinistros em rodovias estaduais sob administração pública direta</t>
    </r>
    <r>
      <rPr>
        <sz val="10"/>
        <color theme="1"/>
        <rFont val="Open Sans"/>
        <family val="2"/>
      </rPr>
      <t>, com integração de serviços estaduais e municipais de urgência e emergência</t>
    </r>
  </si>
  <si>
    <t>Elaboração de diagnóstico das condições de atendimento a sinistros em rodovias estaduais sob administração pública direta, incluindo levantamento da cobertura atual de GRAU, SAMU, Bombeiros e serviços municipais de saúde e identificação de trechos críticos com maior tempo de resposta</t>
  </si>
  <si>
    <t>SES-SP, SSP</t>
  </si>
  <si>
    <t>Elaboração de Plano Estadual de Atendimento Integrado em rodovias estaduais sob administração pública direta</t>
  </si>
  <si>
    <t>SES-SP, SSP, ARTESP</t>
  </si>
  <si>
    <t>Formalização de acordos de cooperação técnica entre Estado e municípios para cobertura compartilhada de rodovias, com definição de responsabilidades de atendimento, protocolos de acionamento e custeio de serviços</t>
  </si>
  <si>
    <t>Elaboração de manual de operações integradas em rodovias estaduais sob administração pública direta, com a definição de protocolos de atendimento e responsabilidades de cada órgão</t>
  </si>
  <si>
    <t>Monitoramento e avaliação dos atendimentos em rodovias estaduais sob administração pública direta</t>
  </si>
  <si>
    <t>Monitoramento e avaliação realizados</t>
  </si>
  <si>
    <t>Implantação do Plano Estadual de Atendimento Integrado em rodovias estaduais sob administração pública direta em todo o estado de São Paulo</t>
  </si>
  <si>
    <t>Plano implantado</t>
  </si>
  <si>
    <t>8.4.3</t>
  </si>
  <si>
    <r>
      <t xml:space="preserve">Integrar órgãos de trânsito municipais aos </t>
    </r>
    <r>
      <rPr>
        <b/>
        <sz val="10"/>
        <color theme="1"/>
        <rFont val="Open Sans"/>
        <family val="2"/>
      </rPr>
      <t>Grupos Regionais de Saúde e de Enfrentamento à Violência</t>
    </r>
    <r>
      <rPr>
        <sz val="10"/>
        <color theme="1"/>
        <rFont val="Open Sans"/>
        <family val="2"/>
      </rPr>
      <t>, fortalecendo a articulação intersetorial e implantando uma agenda permanente de discussão</t>
    </r>
  </si>
  <si>
    <t>Formalização de instrumento de cooperação técnica entre órgãos de trânsito municipais e Grupos Regionais de Saúde e de Enfrentamento à Violência, com definição de responsabilidades, fluxos de comunicação e calendário de reuniões integrado ao da Secretaria Estadual de Saúde</t>
  </si>
  <si>
    <t>Cooperação formalizada</t>
  </si>
  <si>
    <t>EIXO</t>
  </si>
  <si>
    <t>1.1</t>
  </si>
  <si>
    <t>1.2</t>
  </si>
  <si>
    <t>1.3</t>
  </si>
  <si>
    <t>1.1.1.1</t>
  </si>
  <si>
    <t>1.1.1.2</t>
  </si>
  <si>
    <t>1.1.1.3</t>
  </si>
  <si>
    <t>1.1.1.4</t>
  </si>
  <si>
    <t>Consolidar o Sistran-SP como instância coordenadora da política estadual de segurança viária, com competência para articulação dos municípios, integração entes estaduais e monitoramento da implementação do plano</t>
  </si>
  <si>
    <t>CÓD. AÇÃO</t>
  </si>
  <si>
    <t>CÓD. PRODUTO</t>
  </si>
  <si>
    <t>Institucionalizar o PSV-SP por ato normativo, com vigência decenal e revisões periódicas nos horizontes de curto, médio e longo prazos, antecedendo cada novo ciclo de planejamento</t>
  </si>
  <si>
    <t>1.1.2.1</t>
  </si>
  <si>
    <t>1.1.2.2</t>
  </si>
  <si>
    <t>1.1.2.3</t>
  </si>
  <si>
    <t>1.1.2.4</t>
  </si>
  <si>
    <t>1.1.2.5</t>
  </si>
  <si>
    <t>Instituir o Comitê Gestor do PSV-SP para monitorar a implementação do plano, validar resultados e fortalecer a corresponsabilidade entre os órgãos envolvidos</t>
  </si>
  <si>
    <t>1.1.3.1</t>
  </si>
  <si>
    <t>1.1.3.2</t>
  </si>
  <si>
    <t>1.1.3.3</t>
  </si>
  <si>
    <t>1.1.4.1</t>
  </si>
  <si>
    <t>1.1.4.2</t>
  </si>
  <si>
    <t>1.1.4.3</t>
  </si>
  <si>
    <t>1.1.4.4</t>
  </si>
  <si>
    <t>Integrar metas e diretrizes do PSV-SP aos instrumentos de governo e planos setoriais e regionais, institucionalizando-as no planejamento estadual</t>
  </si>
  <si>
    <t>Fortalecer a governança territorial, ampliando o papel das instâncias regionais como articuladoras e apoio técnico aos municípios, e promovendo a criação e integração de observatórios municipais ao Sistran-SP</t>
  </si>
  <si>
    <t>1.1.5.1</t>
  </si>
  <si>
    <t>1.1.5.2</t>
  </si>
  <si>
    <t>1.1.5.3</t>
  </si>
  <si>
    <t>Instituir uma Agenda Integrada de Mobilização pela Segurança Viária, garantindo participação regular do Estado e municípios</t>
  </si>
  <si>
    <t>1.1.6.1</t>
  </si>
  <si>
    <t>1.1.6.2</t>
  </si>
  <si>
    <t>Institucionalizar dotações orçamentárias para a segurança viária, integrando as metas e ações do PSV-SP ao PPA, LDO e LOA e garantindo transparência e rastreabilidade dos recursos públicos</t>
  </si>
  <si>
    <t>1.2.1.1</t>
  </si>
  <si>
    <t>1.2.1.2</t>
  </si>
  <si>
    <t>1.2.1.3</t>
  </si>
  <si>
    <t>Alocação de recursos existentes para a segurança viária, com fluxos, fontes e governança</t>
  </si>
  <si>
    <t>% dos órgaos competentes com recursos alocados</t>
  </si>
  <si>
    <t>Integração dos órgãos executivos estaduais de trânsito, no âmbito do SISTRAN-SP, aos sistemas orçamentário-financeiros</t>
  </si>
  <si>
    <t>Elaboração e atualização de matriz de vinculação entre ações do PSV-SP e ações orçamentárias por órgão</t>
  </si>
  <si>
    <t>Aplicar recursos estaduais de segurança viária com base em evidências e critérios técnicos, incentivando que municípios e órgãos adotem boas práticas alinhadas ao PSV-SP</t>
  </si>
  <si>
    <t>1.2.2.1</t>
  </si>
  <si>
    <t>1.2.2.2</t>
  </si>
  <si>
    <t>1.2.2.3</t>
  </si>
  <si>
    <t>Implementar ferramenta pública de transparência e prestação de contas sobre o uso dos recursos estaduais destinados à mobilidade e segurança viária</t>
  </si>
  <si>
    <t>1.2.3.1</t>
  </si>
  <si>
    <t>1.2.3.2</t>
  </si>
  <si>
    <t>1.2.3.3</t>
  </si>
  <si>
    <t>1.2.3.4</t>
  </si>
  <si>
    <t>Fortalecer o arcabouço normativo da política estadual de segurança viária, articulando com a Assembleia Legislativa, órgãos federais e entidades setoriais a atualização e criação de normas que ampliem a efetividade e sustentabilidade da política</t>
  </si>
  <si>
    <t>1.3.1.1</t>
  </si>
  <si>
    <t>1.3.1.2</t>
  </si>
  <si>
    <t>1.3.1.3</t>
  </si>
  <si>
    <t>1.3.1.4</t>
  </si>
  <si>
    <t>1.3.1.5</t>
  </si>
  <si>
    <t>Articulação técnica com o Governo Federal para a
gestão dos fatores de risco</t>
  </si>
  <si>
    <t>Reforçar o SISTRAN-SP como
instrumento de cooperação e
compromisso de segurança
viária, alinhado à Visão Zero,
entre o Estado e os municípios</t>
  </si>
  <si>
    <t>1.3.2.1</t>
  </si>
  <si>
    <t>Lançamento público, no âmbito do SISTRAN-SP, da Rede de Cidades Paulistas pela Visão Zero como instrumento de cooperação e compromisso entre o Estado e os municípios.</t>
  </si>
  <si>
    <t>Reforçar o SISTRAN-SP como instrumento de cooperação e compromisso de segurança viária, alinhado à Visão Zero, entre o Estado e os municípios.</t>
  </si>
  <si>
    <t>Seção
Regulatória</t>
  </si>
  <si>
    <t>1.3.2.2</t>
  </si>
  <si>
    <t>1.3.2.3</t>
  </si>
  <si>
    <t>1.3.2.4</t>
  </si>
  <si>
    <t>1.3.2.5</t>
  </si>
  <si>
    <t>Publicação de seção da Rede de Cidades Paulistas pela Visão Zero no portal público de acompanhamento do PSV-SP, voltada à adesão, engajamento e troca de experiências entre municípios, órgãos estaduais e sociedade civil.</t>
  </si>
  <si>
    <t>Apoios implementados</t>
  </si>
  <si>
    <t>1.3.3.1</t>
  </si>
  <si>
    <t>1.3.3.2</t>
  </si>
  <si>
    <t>1.3.4.1</t>
  </si>
  <si>
    <r>
      <t xml:space="preserve">Incentivar a adoção de </t>
    </r>
    <r>
      <rPr>
        <b/>
        <sz val="9"/>
        <color theme="1"/>
        <rFont val="Open Sans"/>
        <family val="2"/>
      </rPr>
      <t>práticas integradas de segurança viária</t>
    </r>
    <r>
      <rPr>
        <sz val="9"/>
        <color theme="1"/>
        <rFont val="Open Sans"/>
        <family val="2"/>
      </rPr>
      <t xml:space="preserve"> que contribuam para a redução de sinistros envolvendo usuários vulneráveis, com prioridade para motociclistas, pedestres e ciclistas</t>
    </r>
  </si>
  <si>
    <t>1.3.4.2</t>
  </si>
  <si>
    <t>1.3.4.3</t>
  </si>
  <si>
    <t>1.3.4.4</t>
  </si>
  <si>
    <t>1.3.4.5</t>
  </si>
  <si>
    <t>CÓD. EIXO</t>
  </si>
  <si>
    <t>CÓD. O.E.</t>
  </si>
  <si>
    <t>Gestão da Segurança Viária</t>
  </si>
  <si>
    <t xml:space="preserve"> Fortalecimento da governança e institucionalização da segurança viária</t>
  </si>
  <si>
    <t>Financiamento sustentável e custo-efetivo da segurança viária</t>
  </si>
  <si>
    <t>Promoção do compromisso político e da corresponsabilidade interinstitucional</t>
  </si>
  <si>
    <t>Gestão da Informação</t>
  </si>
  <si>
    <t>2.1</t>
  </si>
  <si>
    <t>2.2</t>
  </si>
  <si>
    <t>2.3</t>
  </si>
  <si>
    <t>Governança da gestão de dados de segurança viária</t>
  </si>
  <si>
    <t>2.1.1.1</t>
  </si>
  <si>
    <t>2.1.1.2</t>
  </si>
  <si>
    <t>2.1.1.3</t>
  </si>
  <si>
    <t>2.1.2.1</t>
  </si>
  <si>
    <t>2.1.2.2</t>
  </si>
  <si>
    <t>2.1.2.3</t>
  </si>
  <si>
    <t>2.1.3.1</t>
  </si>
  <si>
    <t>2.1.3.2</t>
  </si>
  <si>
    <t>2.1.3.3</t>
  </si>
  <si>
    <t>2.1.4.1</t>
  </si>
  <si>
    <t>2.1.4.2</t>
  </si>
  <si>
    <t>2.1.4.3</t>
  </si>
  <si>
    <t>Criação de Protocolos Operacionais Padrão (POPs) para uso do aplicativo estadual de registro de sinistros de trânsito</t>
  </si>
  <si>
    <t>Criação de modelo do instrumento normativo entre Detran-SP e outros entes para adesão ao uso do aplicativo estadual de registro de sinistros de trânsito</t>
  </si>
  <si>
    <t>2.1.4.4</t>
  </si>
  <si>
    <t>2.1.4.5</t>
  </si>
  <si>
    <t>Capacitação das forças de segurança na coleta de dados de sinistros de trânsito e uso do aplicativo estadual de registro de sinistros de trânsito</t>
  </si>
  <si>
    <t>2.1.5.1</t>
  </si>
  <si>
    <t>2.1.5.2</t>
  </si>
  <si>
    <t>2.1.5.3</t>
  </si>
  <si>
    <t>Qualificação e
integração dos
dados de segurança
viária</t>
  </si>
  <si>
    <t>2.2.1.1</t>
  </si>
  <si>
    <t>2.2.1.2</t>
  </si>
  <si>
    <t>2.2.1.3</t>
  </si>
  <si>
    <t>2.2.1.4</t>
  </si>
  <si>
    <t>2.2.1.5</t>
  </si>
  <si>
    <t>2.2.1.6</t>
  </si>
  <si>
    <t>2.2.1.7</t>
  </si>
  <si>
    <t>2.2.1.8</t>
  </si>
  <si>
    <t>Integração dos dados de sistemas de informação e monitoramento no estado de São Paulo ao Infosiga</t>
  </si>
  <si>
    <t>2.2.2.1</t>
  </si>
  <si>
    <t>2.2.2.2</t>
  </si>
  <si>
    <t>Produção e divulgação de análises e evidências para gestão baseada em risco e inovação</t>
  </si>
  <si>
    <t>2.3.1.1</t>
  </si>
  <si>
    <t>2.3.1.2</t>
  </si>
  <si>
    <t>2.3.1.3</t>
  </si>
  <si>
    <t>2.3.1.4</t>
  </si>
  <si>
    <t>2.3.2.1</t>
  </si>
  <si>
    <t>2.3.2.2</t>
  </si>
  <si>
    <t>2.3.3.1</t>
  </si>
  <si>
    <t>2.3.3.2</t>
  </si>
  <si>
    <t>2.3.3.3</t>
  </si>
  <si>
    <t>2.3.3.4</t>
  </si>
  <si>
    <t>2.3.4.1</t>
  </si>
  <si>
    <t>2.3.4.2</t>
  </si>
  <si>
    <t>Formalização de parceria com universidade e/ou centro de pesquisa para realização de cursos correlatos</t>
  </si>
  <si>
    <t>Parceria formalizada</t>
  </si>
  <si>
    <t>2.3.5.1</t>
  </si>
  <si>
    <t>2.3.5.2</t>
  </si>
  <si>
    <t>2.3.5.3</t>
  </si>
  <si>
    <t>2.3.5.4</t>
  </si>
  <si>
    <t>2.3.5.5</t>
  </si>
  <si>
    <t>Vias Seguras</t>
  </si>
  <si>
    <t>3.1</t>
  </si>
  <si>
    <t>Estabelecimento de parâmetros e diretrizes estaduais de desenho viário seguro</t>
  </si>
  <si>
    <t>3.1.1.1</t>
  </si>
  <si>
    <t>3.1.1.2</t>
  </si>
  <si>
    <t>3.1.1.3</t>
  </si>
  <si>
    <t>3.1.2.1</t>
  </si>
  <si>
    <t>3.1.2.2</t>
  </si>
  <si>
    <t>3.1.2.3</t>
  </si>
  <si>
    <t>3.1.2.4</t>
  </si>
  <si>
    <r>
      <t xml:space="preserve">Incorporar parâmetros de infraestrutura viária segura, alinhados ao Sistema Seguro, em </t>
    </r>
    <r>
      <rPr>
        <b/>
        <sz val="9"/>
        <color theme="1"/>
        <rFont val="Open Sans"/>
        <family val="2"/>
      </rPr>
      <t>contratos de concessão de rodovias e de novas rodovias</t>
    </r>
    <r>
      <rPr>
        <sz val="9"/>
        <color theme="1"/>
        <rFont val="Open Sans"/>
        <family val="2"/>
      </rPr>
      <t>, vinculando resultados à redução de risco e à promoção de mobilidade segura para pedestres, ciclistas e transporte coletivo</t>
    </r>
  </si>
  <si>
    <t>3.1.3.1</t>
  </si>
  <si>
    <t>3.1.3.2</t>
  </si>
  <si>
    <t>3.1.3.3</t>
  </si>
  <si>
    <t>3.1.3.4</t>
  </si>
  <si>
    <t>3.1.3.5</t>
  </si>
  <si>
    <r>
      <t xml:space="preserve">Incorporar parâmetros de infraestrutura viária segura, alinhados ao Sistema Seguro, em </t>
    </r>
    <r>
      <rPr>
        <b/>
        <sz val="9"/>
        <color theme="1"/>
        <rFont val="Open Sans"/>
        <family val="2"/>
      </rPr>
      <t>contratos de manutenção de rodovias</t>
    </r>
    <r>
      <rPr>
        <sz val="9"/>
        <color theme="1"/>
        <rFont val="Open Sans"/>
        <family val="2"/>
      </rPr>
      <t>, vinculando resultados à redução de risco e à promoção de mobilidade segura para pedestres, ciclistas e transporte coletivo</t>
    </r>
  </si>
  <si>
    <t>3.1.4.1</t>
  </si>
  <si>
    <t>3.1.4.2</t>
  </si>
  <si>
    <t>3.1.4.3</t>
  </si>
  <si>
    <t>3.1.4.4</t>
  </si>
  <si>
    <t>3.1.4.5</t>
  </si>
  <si>
    <t>3.1.5.1</t>
  </si>
  <si>
    <t>3.1.5.2</t>
  </si>
  <si>
    <t>3.1.5.3</t>
  </si>
  <si>
    <t>3.1.5.4</t>
  </si>
  <si>
    <t>3.1.6.1</t>
  </si>
  <si>
    <t>3.1.6.2</t>
  </si>
  <si>
    <t>Elaboração de documento com recomendações de atualização ou harmonização de normas técnicas de infraestrutura e desenho viário embasadas em evidências</t>
  </si>
  <si>
    <t>3.2</t>
  </si>
  <si>
    <t>Apoio ao desenvolvimento e implementação de intervenções viárias seguras em municípios e rodovias estaduais</t>
  </si>
  <si>
    <r>
      <rPr>
        <sz val="9"/>
        <color rgb="FF2C2C4D"/>
        <rFont val="Open Sans"/>
        <family val="2"/>
      </rPr>
      <t xml:space="preserve">Tratar </t>
    </r>
    <r>
      <rPr>
        <b/>
        <sz val="9"/>
        <color rgb="FF2C2C4D"/>
        <rFont val="Open Sans"/>
        <family val="2"/>
      </rPr>
      <t>pontos críticos</t>
    </r>
    <r>
      <rPr>
        <sz val="9"/>
        <color rgb="FF2C2C4D"/>
        <rFont val="Open Sans"/>
        <family val="2"/>
      </rPr>
      <t xml:space="preserve"> de sinistralidade nas rodovias estaduais, assegurando a redução do risco de sinistros e a proteção de todos os usuários, com atenção especial aos mais vulneráveis, como pedestres, ciclistas e motociclistas</t>
    </r>
  </si>
  <si>
    <t>3.2.1.1</t>
  </si>
  <si>
    <t>3.2.1.2</t>
  </si>
  <si>
    <t>3.2.1.3</t>
  </si>
  <si>
    <t>3.2.1.4</t>
  </si>
  <si>
    <t>3.2.1.5</t>
  </si>
  <si>
    <t>3.2.1.6</t>
  </si>
  <si>
    <t>3.2.1.7</t>
  </si>
  <si>
    <t>3.2.1.8</t>
  </si>
  <si>
    <t>3.2.2.1</t>
  </si>
  <si>
    <t>3.2.2.2</t>
  </si>
  <si>
    <t>3.2.2.3</t>
  </si>
  <si>
    <t>3.2.2.4</t>
  </si>
  <si>
    <t>3.2.3.1</t>
  </si>
  <si>
    <t>3.2.3.2</t>
  </si>
  <si>
    <t>3.2.3.3</t>
  </si>
  <si>
    <t>3.2.3.4</t>
  </si>
  <si>
    <t>3.2.3.5</t>
  </si>
  <si>
    <t>3.3</t>
  </si>
  <si>
    <t>Infraestrutura segura e integrada para mobilidade ativa, coletiva e sustentável</t>
  </si>
  <si>
    <t>3.3.1.1</t>
  </si>
  <si>
    <t>3.3.1.2</t>
  </si>
  <si>
    <t>3.3.2.1</t>
  </si>
  <si>
    <t>3.3.2.2</t>
  </si>
  <si>
    <t>3.3.2.3</t>
  </si>
  <si>
    <t>3.3.2.4</t>
  </si>
  <si>
    <t>3.3.2.5</t>
  </si>
  <si>
    <t>Educação</t>
  </si>
  <si>
    <t>4.1</t>
  </si>
  <si>
    <t>Educação para a segurança viária em todos os níveis de ensino e participação ativa de jovens</t>
  </si>
  <si>
    <t>4.2</t>
  </si>
  <si>
    <t>4.3</t>
  </si>
  <si>
    <t>4.1.1.1</t>
  </si>
  <si>
    <t>4.1.1.2</t>
  </si>
  <si>
    <t>4.1.1.3</t>
  </si>
  <si>
    <t>4.1.1.4</t>
  </si>
  <si>
    <t>4.1.1.5</t>
  </si>
  <si>
    <t>4.1.2</t>
  </si>
  <si>
    <t>Estabelecer instrumentos legais e parcerias com universidades públicas, privadas e institutos federais, para pesquisa, extensão e formação em mobilidade e segurança viária, e para atividades e projetos de educação integrados que conectem os níveis básico, fundamental, médio e superior</t>
  </si>
  <si>
    <t>4.1.2.1</t>
  </si>
  <si>
    <t>4.1.2.2</t>
  </si>
  <si>
    <t>4.1.2.3</t>
  </si>
  <si>
    <t>4.1.2.4</t>
  </si>
  <si>
    <t>N° de parcerias formalizadas</t>
  </si>
  <si>
    <t>Estabelecer instrumentos legais e parcerias com municípios, organizações da sociedade civil e institutos especializados para ampliar programas de educação para o trânsito</t>
  </si>
  <si>
    <t>4.1.3.1</t>
  </si>
  <si>
    <t>4.1.3.2</t>
  </si>
  <si>
    <t>4.1.3.3</t>
  </si>
  <si>
    <t>4.1.3.4</t>
  </si>
  <si>
    <t>4.1.3.5</t>
  </si>
  <si>
    <t>Formalização de parcerias com municípios, organizações e institutos</t>
  </si>
  <si>
    <t>4.1.4.1</t>
  </si>
  <si>
    <t>4.1.4.2</t>
  </si>
  <si>
    <t>4.1.4.3</t>
  </si>
  <si>
    <t>4.1.4.4</t>
  </si>
  <si>
    <t>4.1.4.5</t>
  </si>
  <si>
    <t>Qualificação da formação e capacitação continuada de servidores para a segurança viária</t>
  </si>
  <si>
    <t>4.2.1.1</t>
  </si>
  <si>
    <t>4.2.1.2</t>
  </si>
  <si>
    <t>4.2.2.1</t>
  </si>
  <si>
    <t>4.2.2.2</t>
  </si>
  <si>
    <t>Formação, atualização e qualidade da habilitação de condutores com foco em segurança viária</t>
  </si>
  <si>
    <t>4.3.1.1</t>
  </si>
  <si>
    <t>4.3.1.2</t>
  </si>
  <si>
    <t>4.3.2.1</t>
  </si>
  <si>
    <t>4.3.2.2</t>
  </si>
  <si>
    <t>4.3.3.1</t>
  </si>
  <si>
    <t>4.3.3.2</t>
  </si>
  <si>
    <t>4.3.4.1</t>
  </si>
  <si>
    <t>4.3.4.2</t>
  </si>
  <si>
    <t>4.3.5.1</t>
  </si>
  <si>
    <t>4.3.5.2</t>
  </si>
  <si>
    <t>Produção de conteúdos de campanhas educativas alinhados aos principais fatores de risco</t>
  </si>
  <si>
    <t>Comunicação</t>
  </si>
  <si>
    <t>5.1</t>
  </si>
  <si>
    <t>Campanhas de comunicação para dissuasão de comportamentos de risco</t>
  </si>
  <si>
    <r>
      <t xml:space="preserve">Desenvolver </t>
    </r>
    <r>
      <rPr>
        <b/>
        <sz val="10"/>
        <color theme="1"/>
        <rFont val="Open Sans"/>
        <family val="2"/>
      </rPr>
      <t xml:space="preserve">guia </t>
    </r>
    <r>
      <rPr>
        <sz val="10"/>
        <color theme="1"/>
        <rFont val="Open Sans"/>
        <family val="2"/>
      </rPr>
      <t xml:space="preserve">com diretrizes para o desenvolvimento de </t>
    </r>
    <r>
      <rPr>
        <b/>
        <sz val="10"/>
        <color theme="1"/>
        <rFont val="Open Sans"/>
        <family val="2"/>
      </rPr>
      <t>campanhas de comunicação</t>
    </r>
    <r>
      <rPr>
        <sz val="10"/>
        <color theme="1"/>
        <rFont val="Open Sans"/>
        <family val="2"/>
      </rPr>
      <t xml:space="preserve"> em segurança viária </t>
    </r>
  </si>
  <si>
    <t>5.1.1.1</t>
  </si>
  <si>
    <t>5.1.1.2</t>
  </si>
  <si>
    <t>5.1.1.3</t>
  </si>
  <si>
    <t>5.1.2.1</t>
  </si>
  <si>
    <t>5.1.2.2</t>
  </si>
  <si>
    <t>5.1.2.3</t>
  </si>
  <si>
    <t>5.1.2.4</t>
  </si>
  <si>
    <t>5.1.3.1</t>
  </si>
  <si>
    <t>5.1.3.2</t>
  </si>
  <si>
    <t>5.1.3.3</t>
  </si>
  <si>
    <t>Qualificação da narrativa de segurança viária em âmbito estadual</t>
  </si>
  <si>
    <t>5.2</t>
  </si>
  <si>
    <t>Promover um programa permanente de capacitação em segurança viária para equipes de comunicação e porta-vozes de entes estaduais</t>
  </si>
  <si>
    <t>5.2.1.1</t>
  </si>
  <si>
    <t>5.3</t>
  </si>
  <si>
    <t>5.2.1.2</t>
  </si>
  <si>
    <t>5.2.1.3</t>
  </si>
  <si>
    <t>5.2.1.4</t>
  </si>
  <si>
    <t>Desenvolvimento de plano de capacitação</t>
  </si>
  <si>
    <t>Plano de capacitação desenvolvido</t>
  </si>
  <si>
    <t>Nº de capacitação para porta-vozes realizados</t>
  </si>
  <si>
    <t>Realização de capacitação para equipes de comunicação dos órgãos integrados ao Sistran</t>
  </si>
  <si>
    <t>Realização de capacitação para porta-vozes dos órgãos integrados ao Sistran</t>
  </si>
  <si>
    <r>
      <t xml:space="preserve">Publicar e disseminar uma </t>
    </r>
    <r>
      <rPr>
        <b/>
        <sz val="10"/>
        <color theme="1"/>
        <rFont val="Open Sans"/>
        <family val="2"/>
      </rPr>
      <t>guia</t>
    </r>
    <r>
      <rPr>
        <sz val="10"/>
        <color theme="1"/>
        <rFont val="Open Sans"/>
        <family val="2"/>
      </rPr>
      <t xml:space="preserve"> </t>
    </r>
    <r>
      <rPr>
        <b/>
        <sz val="10"/>
        <color theme="1"/>
        <rFont val="Open Sans"/>
        <family val="2"/>
      </rPr>
      <t>oficial de narrativa de segurança viária do Estado</t>
    </r>
    <r>
      <rPr>
        <sz val="10"/>
        <color theme="1"/>
        <rFont val="Open Sans"/>
        <family val="2"/>
      </rPr>
      <t xml:space="preserve">, para incorporar a abordagem de Visão Zero e Sistema Seguro e o termo ‘sinistro de trânsito’ em todos os materiais de comunicação do Estado </t>
    </r>
  </si>
  <si>
    <t>5.2.2.1</t>
  </si>
  <si>
    <t>5.2.2.2</t>
  </si>
  <si>
    <t>% comunicações oficiais dos órgãos estaduais centrais com adoação da narrativa</t>
  </si>
  <si>
    <t>% de órgãos estaduais do Sistran-SP com adoção da narrativa</t>
  </si>
  <si>
    <t>5.2.3.1</t>
  </si>
  <si>
    <t>5.2.3.2</t>
  </si>
  <si>
    <r>
      <t>Realizar a</t>
    </r>
    <r>
      <rPr>
        <b/>
        <sz val="10"/>
        <color theme="1"/>
        <rFont val="Open Sans"/>
        <family val="2"/>
      </rPr>
      <t xml:space="preserve"> manutenção de relacionamento permanente com a imprensa</t>
    </r>
    <r>
      <rPr>
        <sz val="10"/>
        <color theme="1"/>
        <rFont val="Open Sans"/>
        <family val="2"/>
      </rPr>
      <t xml:space="preserve"> para ampliar e qualificar a cobertura da segurança viária, por meio de mídia ganha</t>
    </r>
  </si>
  <si>
    <t>5.2.4.1</t>
  </si>
  <si>
    <t>5.2.4.2</t>
  </si>
  <si>
    <t>5.2.4.3</t>
  </si>
  <si>
    <t>5.2.4.4</t>
  </si>
  <si>
    <t>Articulação com municípios para a sensibilização da população</t>
  </si>
  <si>
    <t>5.3.1.1</t>
  </si>
  <si>
    <t>5.3.1.2</t>
  </si>
  <si>
    <t>Promover um programa de capacitação em segurança viária para as equipes de comunicação de entes municipais</t>
  </si>
  <si>
    <t>Plano de capacitação (municipal) desenvolvido</t>
  </si>
  <si>
    <t>% materiais produzidos de acordo com agenda de capacitação</t>
  </si>
  <si>
    <t>5.3.2.1</t>
  </si>
  <si>
    <t>5.3.2.2</t>
  </si>
  <si>
    <t>5.3.3.1</t>
  </si>
  <si>
    <t>5.3.3.2</t>
  </si>
  <si>
    <t>Fiscalização</t>
  </si>
  <si>
    <t>6.1</t>
  </si>
  <si>
    <t>Integração institucional e coordenação da fiscalização de trânsito</t>
  </si>
  <si>
    <t>6.1.1.1</t>
  </si>
  <si>
    <t>6.1.1.2</t>
  </si>
  <si>
    <t>6.1.1.3</t>
  </si>
  <si>
    <t>6.1.2.1</t>
  </si>
  <si>
    <t>% de regiões do Estado capacitadas</t>
  </si>
  <si>
    <t>6.1.2.2</t>
  </si>
  <si>
    <t>6.1.2.3</t>
  </si>
  <si>
    <t>6.1.2.4</t>
  </si>
  <si>
    <t>6.1.3.1</t>
  </si>
  <si>
    <t>6.1.3.2</t>
  </si>
  <si>
    <r>
      <t xml:space="preserve">Apoiar </t>
    </r>
    <r>
      <rPr>
        <b/>
        <sz val="10"/>
        <color theme="1"/>
        <rFont val="Open Sans"/>
        <family val="2"/>
      </rPr>
      <t xml:space="preserve">municípios </t>
    </r>
    <r>
      <rPr>
        <sz val="10"/>
        <color theme="1"/>
        <rFont val="Open Sans"/>
        <family val="2"/>
      </rPr>
      <t>na integração e fortalecimento de suas estruturas de fiscalização</t>
    </r>
  </si>
  <si>
    <t>6.1.4.1</t>
  </si>
  <si>
    <t>6.1.4.2</t>
  </si>
  <si>
    <t>6.1.4.3</t>
  </si>
  <si>
    <t>6.1.4.4</t>
  </si>
  <si>
    <t>6.1.5.1</t>
  </si>
  <si>
    <t>6.1.5.2</t>
  </si>
  <si>
    <t>6.1.5.3</t>
  </si>
  <si>
    <t>6.1.6.1</t>
  </si>
  <si>
    <t>6.1.6.2</t>
  </si>
  <si>
    <t>6.2</t>
  </si>
  <si>
    <t>Fiscalização de fatores de risco prioritários baseada em dados e evidências</t>
  </si>
  <si>
    <t>6.2.1.1</t>
  </si>
  <si>
    <t>6.2.1.2</t>
  </si>
  <si>
    <t>6.2.2.1</t>
  </si>
  <si>
    <t>6.2.2.2</t>
  </si>
  <si>
    <t>6.2.2.3</t>
  </si>
  <si>
    <t>6.2.2.4</t>
  </si>
  <si>
    <t>6.2.3.1</t>
  </si>
  <si>
    <t>6.2.3.2</t>
  </si>
  <si>
    <t>6.2.4.1</t>
  </si>
  <si>
    <t>6.2.4.2</t>
  </si>
  <si>
    <t>6.2.4.3</t>
  </si>
  <si>
    <t>6.2.5.1</t>
  </si>
  <si>
    <t>6.2.5.2</t>
  </si>
  <si>
    <t>6.2.5.3</t>
  </si>
  <si>
    <t>6.2.6.1</t>
  </si>
  <si>
    <t>6.2.6.2</t>
  </si>
  <si>
    <r>
      <t xml:space="preserve">Elaborar </t>
    </r>
    <r>
      <rPr>
        <b/>
        <sz val="10"/>
        <color theme="1"/>
        <rFont val="Open Sans"/>
        <family val="2"/>
      </rPr>
      <t>propostas normativas e técnicas</t>
    </r>
    <r>
      <rPr>
        <sz val="10"/>
        <color theme="1"/>
        <rFont val="Open Sans"/>
        <family val="2"/>
      </rPr>
      <t xml:space="preserve"> relativas à fiscalização de limites de velocidade, padrões de equipamentos, critérios de concessão e procedimentos de fiscalização em contratos de concessão rodoviária</t>
    </r>
  </si>
  <si>
    <t>6.2.7.1</t>
  </si>
  <si>
    <t>6.2.7.2</t>
  </si>
  <si>
    <t>6.2.7.3</t>
  </si>
  <si>
    <t>6.3</t>
  </si>
  <si>
    <t>Inovação e tecnologias para fiscalização e monitoramento contínuo</t>
  </si>
  <si>
    <t>Disseminar informações e boas práticas sobre uso de tecnologias de fiscalização entre entes estaduais, municípios e concessionárias</t>
  </si>
  <si>
    <t>6.3.1.1</t>
  </si>
  <si>
    <t>6.3.1.2</t>
  </si>
  <si>
    <t>6.3.2.1</t>
  </si>
  <si>
    <t>Formalização de parcerias e outros instrumentos legais para pesquisa e desenvolvimento em tecnologias de fiscalização</t>
  </si>
  <si>
    <t>N° de parcerias firmadas</t>
  </si>
  <si>
    <t>6.3.2.2</t>
  </si>
  <si>
    <t>6.3.3.1</t>
  </si>
  <si>
    <t>6.3.3.2</t>
  </si>
  <si>
    <t>6.3.3.3</t>
  </si>
  <si>
    <t>Elaboração de termo de parceria e outros instrumentos legais para adesão de municípios ao sistema digital de processamento de infrações de trânsito</t>
  </si>
  <si>
    <t>Veículos Seguros</t>
  </si>
  <si>
    <t>7.1</t>
  </si>
  <si>
    <t>Inspeção, manutenção preventiva e renovação da frota</t>
  </si>
  <si>
    <t>7.2</t>
  </si>
  <si>
    <t>7.3</t>
  </si>
  <si>
    <t>7.1.1.1</t>
  </si>
  <si>
    <t>7.1.1.2</t>
  </si>
  <si>
    <t>7.1.1.3</t>
  </si>
  <si>
    <t>7.1.1.4</t>
  </si>
  <si>
    <t>7.1.1.5</t>
  </si>
  <si>
    <t>% dos municípios integrados ao Sistran-SP com ações educativas estabelecidas</t>
  </si>
  <si>
    <t>7.1.2.1</t>
  </si>
  <si>
    <t>7.1.2.2</t>
  </si>
  <si>
    <t>7.1.2.3</t>
  </si>
  <si>
    <t>7.1.2.4</t>
  </si>
  <si>
    <t>7.1.3.1</t>
  </si>
  <si>
    <t>7.1.3.2</t>
  </si>
  <si>
    <t>7.1.3.3</t>
  </si>
  <si>
    <t>7.1.4.1</t>
  </si>
  <si>
    <t>7.1.4.2</t>
  </si>
  <si>
    <t>7.1.5.1</t>
  </si>
  <si>
    <t>7.1.5.2</t>
  </si>
  <si>
    <t>7.1.6.1</t>
  </si>
  <si>
    <t>7.1.6.2</t>
  </si>
  <si>
    <t>7.1.6.3</t>
  </si>
  <si>
    <t>7.1.7.1</t>
  </si>
  <si>
    <t>7.1.7.2</t>
  </si>
  <si>
    <t>Tecnologias de segurança e parâmetros regulatórios</t>
  </si>
  <si>
    <t>7.2.1.1</t>
  </si>
  <si>
    <t>7.2.1.2</t>
  </si>
  <si>
    <t>7.2.2.1</t>
  </si>
  <si>
    <t>7.2.2.2</t>
  </si>
  <si>
    <t>7.2.3.1</t>
  </si>
  <si>
    <t>Governança da segurança veicular</t>
  </si>
  <si>
    <t>7.3.1.1</t>
  </si>
  <si>
    <t>7.3.1.2</t>
  </si>
  <si>
    <t>7.3.1.3</t>
  </si>
  <si>
    <t>7.3.2.1</t>
  </si>
  <si>
    <t>7.3.2.2</t>
  </si>
  <si>
    <t>7.3.2.3</t>
  </si>
  <si>
    <t>Elaboração de calendário anual de capacitação e intercâmbios sobre inspeção e tecnologias veiculares</t>
  </si>
  <si>
    <t>Realização de oficinas e capacitação entre órgãos públicos e setor automotivo</t>
  </si>
  <si>
    <t>7.3.3.1</t>
  </si>
  <si>
    <t>7.3.3.2</t>
  </si>
  <si>
    <t>Atendimento às vítimas</t>
  </si>
  <si>
    <t>8.1</t>
  </si>
  <si>
    <t>Resposta rápida e integrada aos sinistros de trânsito</t>
  </si>
  <si>
    <t>8.1.1.1</t>
  </si>
  <si>
    <t>8.1.1.2</t>
  </si>
  <si>
    <t>8.1.1.3</t>
  </si>
  <si>
    <t>8.1.2.1</t>
  </si>
  <si>
    <t>8.1.2.2</t>
  </si>
  <si>
    <t>8.1.2.3</t>
  </si>
  <si>
    <t>8.1.2.4</t>
  </si>
  <si>
    <t>8.1.3.1</t>
  </si>
  <si>
    <t>8.1.3.2</t>
  </si>
  <si>
    <t>8.1.3.3</t>
  </si>
  <si>
    <t>8.1.3.4</t>
  </si>
  <si>
    <t>8.1.3.5</t>
  </si>
  <si>
    <t>8.1.3.6</t>
  </si>
  <si>
    <t>8.1.4.1</t>
  </si>
  <si>
    <t>8.1.4.2</t>
  </si>
  <si>
    <t>8.1.5.1</t>
  </si>
  <si>
    <t>8.1.5.2</t>
  </si>
  <si>
    <t>8.2</t>
  </si>
  <si>
    <t>Rede
hospitalar
estruturada e
inteligência em
saúde</t>
  </si>
  <si>
    <t>8.2.1.1</t>
  </si>
  <si>
    <t>8.2.1.2</t>
  </si>
  <si>
    <t>8.2.2.1</t>
  </si>
  <si>
    <t>8.2.2.2</t>
  </si>
  <si>
    <t>8.2.3.1</t>
  </si>
  <si>
    <t>8.2.3.2</t>
  </si>
  <si>
    <t>8.3</t>
  </si>
  <si>
    <t>Reabilitação integral e apoio às vítimas e famílias</t>
  </si>
  <si>
    <t>8.3.1.1</t>
  </si>
  <si>
    <t>8.3.1.2</t>
  </si>
  <si>
    <t>8.3.1.3</t>
  </si>
  <si>
    <t>8.4</t>
  </si>
  <si>
    <t>Governança do sistema de atendimento às vítimas</t>
  </si>
  <si>
    <t>8.4.1.1</t>
  </si>
  <si>
    <t>8.4.1.2</t>
  </si>
  <si>
    <t>8.4.1.3</t>
  </si>
  <si>
    <t>8.4.1.4</t>
  </si>
  <si>
    <t>8.4.2.1</t>
  </si>
  <si>
    <t>8.4.2.2</t>
  </si>
  <si>
    <t>8.4.2.3</t>
  </si>
  <si>
    <t>8.4.2.4</t>
  </si>
  <si>
    <t>8.4.2.5</t>
  </si>
  <si>
    <t>8.4.2.6</t>
  </si>
  <si>
    <t>8.4.3.1</t>
  </si>
  <si>
    <t>IMPLEMENTTAÇÃO</t>
  </si>
  <si>
    <t>Alinhamento ao  Pnatrans</t>
  </si>
  <si>
    <t>Alinhamento à Gestão dos fatores de risco no trânsito</t>
  </si>
  <si>
    <t>Alinhamento à Aplicação, conformidade e melhoria
normativa</t>
  </si>
  <si>
    <t>Sim</t>
  </si>
  <si>
    <t>Não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</si>
</sst>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b/>
      <sz val="9"/>
      <color theme="1"/>
      <name val="Open Sans"/>
    </font>
    <font>
      <sz val="9"/>
      <color theme="1"/>
      <name val="Open Sans"/>
    </font>
    <font>
      <u/>
      <sz val="11"/>
      <color theme="10"/>
      <name val="Aptos Narrow"/>
      <family val="2"/>
      <scheme val="minor"/>
    </font>
    <font>
      <u/>
      <sz val="9"/>
      <color theme="10"/>
      <name val="Open Sans"/>
    </font>
    <font>
      <sz val="9"/>
      <color rgb="FFFF0000"/>
      <name val="Open Sans"/>
    </font>
    <font>
      <b/>
      <sz val="14"/>
      <color theme="0"/>
      <name val="Aptos Narrow"/>
      <family val="2"/>
      <scheme val="minor"/>
    </font>
    <font>
      <b/>
      <sz val="10"/>
      <color theme="1"/>
      <name val="Open Sans"/>
      <family val="2"/>
    </font>
    <font>
      <sz val="9"/>
      <color theme="1"/>
      <name val="Open Sans"/>
      <family val="2"/>
    </font>
    <font>
      <b/>
      <sz val="9"/>
      <color theme="1"/>
      <name val="Open Sans"/>
      <family val="2"/>
    </font>
    <font>
      <b/>
      <sz val="9"/>
      <color rgb="FFFFFFFF"/>
      <name val="Open Sans"/>
      <family val="2"/>
    </font>
    <font>
      <b/>
      <sz val="10"/>
      <color rgb="FFFFFFFF"/>
      <name val="Open Sans"/>
      <family val="2"/>
    </font>
    <font>
      <sz val="9"/>
      <color rgb="FF000000"/>
      <name val="Open Sans"/>
      <family val="2"/>
    </font>
    <font>
      <sz val="9"/>
      <color rgb="FF2C2C4D"/>
      <name val="Open Sans"/>
      <family val="2"/>
    </font>
    <font>
      <sz val="10"/>
      <color theme="1"/>
      <name val="Open Sans"/>
      <family val="2"/>
    </font>
    <font>
      <sz val="9"/>
      <name val="Open Sans"/>
      <family val="2"/>
    </font>
    <font>
      <b/>
      <sz val="9"/>
      <color rgb="FF2C2C4D"/>
      <name val="Open Sans"/>
      <family val="2"/>
    </font>
    <font>
      <sz val="10"/>
      <color rgb="FF2C2C4D"/>
      <name val="Open Sans"/>
      <family val="2"/>
    </font>
    <font>
      <b/>
      <sz val="10"/>
      <color rgb="FF2C2C4D"/>
      <name val="Open Sans"/>
      <family val="2"/>
    </font>
    <font>
      <sz val="10"/>
      <color rgb="FF000000"/>
      <name val="Open Sans"/>
      <family val="2"/>
    </font>
    <font>
      <i/>
      <sz val="10"/>
      <color theme="1"/>
      <name val="Open Sans"/>
      <family val="2"/>
    </font>
    <font>
      <sz val="8"/>
      <name val="Aptos Narrow"/>
      <family val="2"/>
      <scheme val="minor"/>
    </font>
    <font>
      <sz val="11"/>
      <color theme="1"/>
      <name val="Open Sans"/>
      <family val="2"/>
    </font>
    <font>
      <sz val="11"/>
      <color rgb="FF242424"/>
      <name val="Open Sans"/>
      <family val="2"/>
    </font>
    <font>
      <sz val="8"/>
      <color theme="1"/>
      <name val="Open Sans"/>
      <family val="2"/>
    </font>
    <font>
      <sz val="9"/>
      <color rgb="FFFF0000"/>
      <name val="Open Sans"/>
      <family val="2"/>
    </font>
  </fonts>
  <fills count="14">
    <fill>
      <patternFill patternType="none"/>
    </fill>
    <fill>
      <patternFill patternType="gray125"/>
    </fill>
    <fill>
      <patternFill patternType="solid">
        <fgColor theme="8" tint="0.59999389629810485"/>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rgb="FF7030A0"/>
        <bgColor indexed="64"/>
      </patternFill>
    </fill>
    <fill>
      <patternFill patternType="solid">
        <fgColor theme="7" tint="0.39997558519241921"/>
        <bgColor indexed="64"/>
      </patternFill>
    </fill>
    <fill>
      <patternFill patternType="solid">
        <fgColor theme="5" tint="0.59999389629810485"/>
        <bgColor indexed="64"/>
      </patternFill>
    </fill>
    <fill>
      <patternFill patternType="solid">
        <fgColor rgb="FF7030A0"/>
        <bgColor rgb="FFF7CB4D"/>
      </patternFill>
    </fill>
    <fill>
      <patternFill patternType="solid">
        <fgColor theme="8"/>
        <bgColor rgb="FFF7CB4D"/>
      </patternFill>
    </fill>
    <fill>
      <patternFill patternType="solid">
        <fgColor rgb="FFFFFFFF"/>
        <bgColor rgb="FFFFFFFF"/>
      </patternFill>
    </fill>
    <fill>
      <patternFill patternType="solid">
        <fgColor rgb="FFFEF8E3"/>
        <bgColor rgb="FFFEF8E3"/>
      </patternFill>
    </fill>
    <fill>
      <patternFill patternType="solid">
        <fgColor rgb="FFFFFF00"/>
        <bgColor indexed="64"/>
      </patternFill>
    </fill>
    <fill>
      <patternFill patternType="solid">
        <fgColor rgb="FFFFFF00"/>
        <bgColor rgb="FFFFFFFF"/>
      </patternFill>
    </fill>
  </fills>
  <borders count="33">
    <border>
      <left/>
      <right/>
      <top/>
      <bottom/>
      <diagonal/>
    </border>
    <border>
      <left style="thin">
        <color theme="0"/>
      </left>
      <right style="thin">
        <color theme="0"/>
      </right>
      <top style="thin">
        <color theme="0"/>
      </top>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thin">
        <color theme="0"/>
      </left>
      <right style="thin">
        <color theme="0"/>
      </right>
      <top/>
      <bottom style="thin">
        <color theme="0"/>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rgb="FF7030A0"/>
      </left>
      <right style="thin">
        <color rgb="FF7030A0"/>
      </right>
      <top/>
      <bottom style="thin">
        <color rgb="FF7030A0"/>
      </bottom>
      <diagonal/>
    </border>
    <border>
      <left style="thin">
        <color rgb="FF7030A0"/>
      </left>
      <right style="medium">
        <color rgb="FF7030A0"/>
      </right>
      <top/>
      <bottom style="thin">
        <color rgb="FF7030A0"/>
      </bottom>
      <diagonal/>
    </border>
    <border>
      <left style="thin">
        <color rgb="FF7030A0"/>
      </left>
      <right style="thin">
        <color rgb="FF7030A0"/>
      </right>
      <top/>
      <bottom/>
      <diagonal/>
    </border>
    <border>
      <left style="thin">
        <color rgb="FF7030A0"/>
      </left>
      <right style="thin">
        <color rgb="FF7030A0"/>
      </right>
      <top style="thin">
        <color rgb="FF7030A0"/>
      </top>
      <bottom style="thin">
        <color rgb="FF7030A0"/>
      </bottom>
      <diagonal/>
    </border>
    <border>
      <left style="thin">
        <color rgb="FF7030A0"/>
      </left>
      <right style="medium">
        <color rgb="FF7030A0"/>
      </right>
      <top style="thin">
        <color rgb="FF7030A0"/>
      </top>
      <bottom style="thin">
        <color rgb="FF7030A0"/>
      </bottom>
      <diagonal/>
    </border>
    <border>
      <left style="thin">
        <color rgb="FF7030A0"/>
      </left>
      <right style="thin">
        <color rgb="FF7030A0"/>
      </right>
      <top style="thin">
        <color rgb="FF7030A0"/>
      </top>
      <bottom/>
      <diagonal/>
    </border>
    <border>
      <left style="thin">
        <color rgb="FF7030A0"/>
      </left>
      <right style="thin">
        <color rgb="FF7030A0"/>
      </right>
      <top style="thin">
        <color rgb="FF7030A0"/>
      </top>
      <bottom style="medium">
        <color rgb="FF7030A0"/>
      </bottom>
      <diagonal/>
    </border>
    <border>
      <left style="thin">
        <color rgb="FF7030A0"/>
      </left>
      <right style="medium">
        <color rgb="FF7030A0"/>
      </right>
      <top style="thin">
        <color rgb="FF7030A0"/>
      </top>
      <bottom style="medium">
        <color rgb="FF7030A0"/>
      </bottom>
      <diagonal/>
    </border>
    <border>
      <left style="thin">
        <color rgb="FF7030A0"/>
      </left>
      <right style="thin">
        <color rgb="FF7030A0"/>
      </right>
      <top style="medium">
        <color rgb="FF7030A0"/>
      </top>
      <bottom/>
      <diagonal/>
    </border>
    <border>
      <left style="thin">
        <color rgb="FF7030A0"/>
      </left>
      <right style="thin">
        <color rgb="FF7030A0"/>
      </right>
      <top style="medium">
        <color rgb="FF7030A0"/>
      </top>
      <bottom style="thin">
        <color rgb="FF7030A0"/>
      </bottom>
      <diagonal/>
    </border>
    <border>
      <left style="thin">
        <color rgb="FF7030A0"/>
      </left>
      <right style="medium">
        <color rgb="FF7030A0"/>
      </right>
      <top style="medium">
        <color rgb="FF7030A0"/>
      </top>
      <bottom style="thin">
        <color rgb="FF7030A0"/>
      </bottom>
      <diagonal/>
    </border>
    <border>
      <left style="thin">
        <color rgb="FF7030A0"/>
      </left>
      <right style="medium">
        <color rgb="FF7030A0"/>
      </right>
      <top style="thin">
        <color rgb="FF7030A0"/>
      </top>
      <bottom/>
      <diagonal/>
    </border>
    <border>
      <left style="thin">
        <color indexed="64"/>
      </left>
      <right style="thin">
        <color indexed="64"/>
      </right>
      <top style="thin">
        <color indexed="64"/>
      </top>
      <bottom style="thin">
        <color indexed="64"/>
      </bottom>
      <diagonal/>
    </border>
    <border>
      <left/>
      <right style="thin">
        <color rgb="FF7030A0"/>
      </right>
      <top/>
      <bottom style="thin">
        <color rgb="FF7030A0"/>
      </bottom>
      <diagonal/>
    </border>
    <border>
      <left/>
      <right style="thin">
        <color rgb="FF7030A0"/>
      </right>
      <top style="thin">
        <color rgb="FF7030A0"/>
      </top>
      <bottom style="thin">
        <color rgb="FF7030A0"/>
      </bottom>
      <diagonal/>
    </border>
    <border>
      <left/>
      <right style="thin">
        <color rgb="FF7030A0"/>
      </right>
      <top style="thin">
        <color rgb="FF7030A0"/>
      </top>
      <bottom/>
      <diagonal/>
    </border>
    <border>
      <left/>
      <right style="thin">
        <color rgb="FF7030A0"/>
      </right>
      <top/>
      <bottom/>
      <diagonal/>
    </border>
    <border>
      <left style="thin">
        <color rgb="FF7030A0"/>
      </left>
      <right/>
      <top style="thin">
        <color rgb="FF7030A0"/>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7030A0"/>
      </left>
      <right/>
      <top style="thin">
        <color rgb="FF7030A0"/>
      </top>
      <bottom style="thin">
        <color rgb="FF7030A0"/>
      </bottom>
      <diagonal/>
    </border>
    <border>
      <left style="thin">
        <color rgb="FF7030A0"/>
      </left>
      <right/>
      <top/>
      <bottom style="thin">
        <color rgb="FF7030A0"/>
      </bottom>
      <diagonal/>
    </border>
    <border>
      <left style="thin">
        <color rgb="FF7030A0"/>
      </left>
      <right/>
      <top style="thin">
        <color rgb="FF7030A0"/>
      </top>
      <bottom style="medium">
        <color rgb="FF7030A0"/>
      </bottom>
      <diagonal/>
    </border>
    <border>
      <left style="thin">
        <color rgb="FF7030A0"/>
      </left>
      <right/>
      <top style="medium">
        <color rgb="FF7030A0"/>
      </top>
      <bottom style="thin">
        <color rgb="FF7030A0"/>
      </bottom>
      <diagonal/>
    </border>
  </borders>
  <cellStyleXfs count="2">
    <xf numFmtId="0" fontId="0" fillId="0" borderId="0"/>
    <xf numFmtId="0" fontId="3" fillId="0" borderId="0" applyNumberFormat="0" applyFill="0" applyBorder="0" applyAlignment="0" applyProtection="0"/>
  </cellStyleXfs>
  <cellXfs count="221">
    <xf numFmtId="0" fontId="0" fillId="0" borderId="0" xfId="0"/>
    <xf numFmtId="49" fontId="2" fillId="3" borderId="0" xfId="0" applyNumberFormat="1" applyFont="1" applyFill="1" applyAlignment="1">
      <alignment horizontal="center" vertical="center"/>
    </xf>
    <xf numFmtId="0" fontId="2" fillId="4" borderId="2" xfId="0" applyFont="1" applyFill="1" applyBorder="1" applyAlignment="1">
      <alignment horizontal="center" vertical="center" wrapText="1"/>
    </xf>
    <xf numFmtId="0" fontId="4" fillId="3" borderId="2" xfId="1" applyFont="1" applyFill="1" applyBorder="1" applyAlignment="1">
      <alignment horizontal="center" vertical="center" wrapText="1"/>
    </xf>
    <xf numFmtId="0" fontId="2" fillId="3" borderId="2" xfId="1" applyFont="1" applyFill="1" applyBorder="1" applyAlignment="1">
      <alignment horizontal="center" vertical="center" wrapText="1"/>
    </xf>
    <xf numFmtId="0" fontId="2" fillId="3" borderId="2"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6" fillId="5" borderId="0" xfId="0" applyFont="1" applyFill="1" applyAlignment="1">
      <alignment horizontal="center"/>
    </xf>
    <xf numFmtId="0" fontId="0" fillId="0" borderId="0" xfId="0" applyAlignment="1">
      <alignment vertical="center" wrapText="1"/>
    </xf>
    <xf numFmtId="0" fontId="1" fillId="4"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7" fillId="0" borderId="0" xfId="0"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10" fillId="8" borderId="2"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3" fillId="10" borderId="8" xfId="0" applyFont="1" applyFill="1" applyBorder="1" applyAlignment="1">
      <alignment vertical="center" wrapText="1"/>
    </xf>
    <xf numFmtId="0" fontId="8" fillId="11" borderId="11" xfId="0" applyFont="1" applyFill="1" applyBorder="1" applyAlignment="1">
      <alignment vertical="center" wrapText="1"/>
    </xf>
    <xf numFmtId="0" fontId="8" fillId="11" borderId="11" xfId="0" applyFont="1" applyFill="1" applyBorder="1" applyAlignment="1">
      <alignment horizontal="left" vertical="center" wrapText="1"/>
    </xf>
    <xf numFmtId="0" fontId="8" fillId="10" borderId="13" xfId="0" applyFont="1" applyFill="1" applyBorder="1" applyAlignment="1">
      <alignment vertical="center" wrapText="1"/>
    </xf>
    <xf numFmtId="0" fontId="8" fillId="10" borderId="11" xfId="0" applyFont="1" applyFill="1" applyBorder="1" applyAlignment="1">
      <alignment vertical="center" wrapText="1"/>
    </xf>
    <xf numFmtId="0" fontId="8" fillId="10" borderId="11" xfId="0" applyFont="1" applyFill="1" applyBorder="1" applyAlignment="1">
      <alignment horizontal="left" vertical="center" wrapText="1"/>
    </xf>
    <xf numFmtId="0" fontId="13" fillId="10" borderId="11" xfId="0" applyFont="1" applyFill="1" applyBorder="1" applyAlignment="1">
      <alignment vertical="center" wrapText="1"/>
    </xf>
    <xf numFmtId="0" fontId="13" fillId="11" borderId="11" xfId="0" applyFont="1" applyFill="1" applyBorder="1" applyAlignment="1">
      <alignment vertical="center" wrapText="1"/>
    </xf>
    <xf numFmtId="0" fontId="8" fillId="11" borderId="13" xfId="0" applyFont="1" applyFill="1" applyBorder="1" applyAlignment="1">
      <alignment vertical="center" wrapText="1"/>
    </xf>
    <xf numFmtId="0" fontId="13" fillId="10" borderId="11" xfId="0" applyFont="1" applyFill="1" applyBorder="1" applyAlignment="1">
      <alignment horizontal="left" vertical="center" wrapText="1"/>
    </xf>
    <xf numFmtId="0" fontId="13" fillId="11" borderId="11" xfId="0" applyFont="1" applyFill="1" applyBorder="1" applyAlignment="1">
      <alignment horizontal="left" vertical="center" wrapText="1"/>
    </xf>
    <xf numFmtId="0" fontId="8" fillId="11" borderId="14" xfId="0" applyFont="1" applyFill="1" applyBorder="1" applyAlignment="1">
      <alignment vertical="center" wrapText="1"/>
    </xf>
    <xf numFmtId="0" fontId="12" fillId="10" borderId="16" xfId="0" applyFont="1" applyFill="1" applyBorder="1" applyAlignment="1">
      <alignment vertical="center" wrapText="1"/>
    </xf>
    <xf numFmtId="0" fontId="8" fillId="10" borderId="17" xfId="0" applyFont="1" applyFill="1" applyBorder="1" applyAlignment="1">
      <alignment vertical="center" wrapText="1"/>
    </xf>
    <xf numFmtId="0" fontId="12" fillId="10" borderId="11" xfId="0" applyFont="1" applyFill="1" applyBorder="1" applyAlignment="1">
      <alignment vertical="center" wrapText="1"/>
    </xf>
    <xf numFmtId="0" fontId="12" fillId="11" borderId="11" xfId="0" applyFont="1" applyFill="1" applyBorder="1" applyAlignment="1">
      <alignment vertical="center" wrapText="1"/>
    </xf>
    <xf numFmtId="0" fontId="12" fillId="10" borderId="14" xfId="0" applyFont="1" applyFill="1" applyBorder="1" applyAlignment="1">
      <alignment vertical="center" wrapText="1"/>
    </xf>
    <xf numFmtId="0" fontId="8" fillId="10" borderId="17" xfId="0" applyFont="1" applyFill="1" applyBorder="1" applyAlignment="1">
      <alignment horizontal="left" vertical="center" wrapText="1"/>
    </xf>
    <xf numFmtId="0" fontId="8" fillId="12" borderId="11" xfId="0" applyFont="1" applyFill="1" applyBorder="1" applyAlignment="1">
      <alignment vertical="center" wrapText="1"/>
    </xf>
    <xf numFmtId="0" fontId="14" fillId="10" borderId="13" xfId="0" applyFont="1" applyFill="1" applyBorder="1" applyAlignment="1">
      <alignment vertical="center" wrapText="1"/>
    </xf>
    <xf numFmtId="0" fontId="14" fillId="10" borderId="11" xfId="0" applyFont="1" applyFill="1" applyBorder="1" applyAlignment="1">
      <alignment vertical="center" wrapText="1"/>
    </xf>
    <xf numFmtId="0" fontId="14" fillId="10" borderId="11" xfId="0" applyFont="1" applyFill="1" applyBorder="1" applyAlignment="1">
      <alignment horizontal="left" vertical="center" wrapText="1"/>
    </xf>
    <xf numFmtId="0" fontId="14" fillId="10" borderId="11" xfId="0" applyFont="1" applyFill="1" applyBorder="1" applyAlignment="1">
      <alignment horizontal="left" vertical="center"/>
    </xf>
    <xf numFmtId="0" fontId="14" fillId="11" borderId="13" xfId="0" applyFont="1" applyFill="1" applyBorder="1" applyAlignment="1">
      <alignment vertical="center" wrapText="1"/>
    </xf>
    <xf numFmtId="0" fontId="14" fillId="11" borderId="13" xfId="0" applyFont="1" applyFill="1" applyBorder="1" applyAlignment="1">
      <alignment horizontal="left" vertical="center" wrapText="1"/>
    </xf>
    <xf numFmtId="0" fontId="14" fillId="11" borderId="11" xfId="0" applyFont="1" applyFill="1" applyBorder="1" applyAlignment="1">
      <alignment horizontal="left" vertical="center" wrapText="1"/>
    </xf>
    <xf numFmtId="0" fontId="14" fillId="11" borderId="11" xfId="0" applyFont="1" applyFill="1" applyBorder="1" applyAlignment="1">
      <alignment vertical="center" wrapText="1"/>
    </xf>
    <xf numFmtId="0" fontId="14" fillId="10" borderId="17" xfId="0" applyFont="1" applyFill="1" applyBorder="1" applyAlignment="1">
      <alignment vertical="center" wrapText="1"/>
    </xf>
    <xf numFmtId="0" fontId="17" fillId="10" borderId="11" xfId="0" applyFont="1" applyFill="1" applyBorder="1" applyAlignment="1">
      <alignment vertical="center" wrapText="1"/>
    </xf>
    <xf numFmtId="0" fontId="17" fillId="11" borderId="11" xfId="0" applyFont="1" applyFill="1" applyBorder="1" applyAlignment="1">
      <alignment vertical="center" wrapText="1"/>
    </xf>
    <xf numFmtId="0" fontId="17" fillId="10" borderId="17" xfId="0" applyFont="1" applyFill="1" applyBorder="1" applyAlignment="1">
      <alignment vertical="center" wrapText="1"/>
    </xf>
    <xf numFmtId="0" fontId="17" fillId="10" borderId="14" xfId="0" applyFont="1" applyFill="1" applyBorder="1" applyAlignment="1">
      <alignment vertical="center" wrapText="1"/>
    </xf>
    <xf numFmtId="0" fontId="11" fillId="8"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22" fillId="0" borderId="0" xfId="0" applyFont="1"/>
    <xf numFmtId="0" fontId="22" fillId="0" borderId="0" xfId="0" applyFont="1" applyAlignment="1">
      <alignment horizontal="center"/>
    </xf>
    <xf numFmtId="0" fontId="23" fillId="0" borderId="0" xfId="0" applyFont="1" applyAlignment="1">
      <alignment wrapText="1"/>
    </xf>
    <xf numFmtId="0" fontId="22" fillId="0" borderId="0" xfId="0" applyFont="1" applyAlignment="1">
      <alignment wrapText="1"/>
    </xf>
    <xf numFmtId="0" fontId="14" fillId="0" borderId="0" xfId="0" applyFont="1"/>
    <xf numFmtId="0" fontId="24" fillId="0" borderId="0" xfId="0" applyFont="1"/>
    <xf numFmtId="0" fontId="22" fillId="0" borderId="0" xfId="0" applyFont="1" applyAlignment="1">
      <alignment horizontal="center" vertical="center"/>
    </xf>
    <xf numFmtId="0" fontId="25" fillId="13" borderId="11" xfId="0" applyFont="1" applyFill="1" applyBorder="1" applyAlignment="1">
      <alignment vertical="center" wrapText="1"/>
    </xf>
    <xf numFmtId="0" fontId="8" fillId="11" borderId="22" xfId="0" applyFont="1" applyFill="1" applyBorder="1" applyAlignment="1">
      <alignment vertical="center" wrapText="1"/>
    </xf>
    <xf numFmtId="0" fontId="8" fillId="10" borderId="22" xfId="0" applyFont="1" applyFill="1" applyBorder="1" applyAlignment="1">
      <alignment vertical="center" wrapText="1"/>
    </xf>
    <xf numFmtId="0" fontId="22" fillId="0" borderId="20" xfId="0" applyFont="1" applyBorder="1" applyAlignment="1">
      <alignment horizontal="center" vertical="center"/>
    </xf>
    <xf numFmtId="49" fontId="8" fillId="0" borderId="20" xfId="0" applyNumberFormat="1" applyFont="1" applyBorder="1" applyAlignment="1">
      <alignment horizontal="center" vertical="center" wrapText="1"/>
    </xf>
    <xf numFmtId="49" fontId="8" fillId="0" borderId="20" xfId="0" applyNumberFormat="1" applyFont="1" applyBorder="1" applyAlignment="1">
      <alignment horizontal="center" vertical="center"/>
    </xf>
    <xf numFmtId="0" fontId="12" fillId="0" borderId="20" xfId="0" applyFont="1" applyBorder="1" applyAlignment="1">
      <alignment vertical="center" wrapText="1"/>
    </xf>
    <xf numFmtId="0" fontId="12" fillId="0" borderId="20" xfId="0" applyFont="1" applyBorder="1" applyAlignment="1">
      <alignment horizontal="center" vertical="center" wrapText="1"/>
    </xf>
    <xf numFmtId="0" fontId="8" fillId="0" borderId="21" xfId="0" applyFont="1" applyBorder="1" applyAlignment="1">
      <alignment vertical="center" wrapText="1"/>
    </xf>
    <xf numFmtId="0" fontId="8" fillId="0" borderId="8" xfId="0" applyFont="1" applyBorder="1" applyAlignment="1">
      <alignment horizontal="left" vertical="center" wrapText="1"/>
    </xf>
    <xf numFmtId="0" fontId="8" fillId="0" borderId="8" xfId="0" applyFont="1" applyBorder="1" applyAlignment="1">
      <alignment vertical="center"/>
    </xf>
    <xf numFmtId="0" fontId="8" fillId="0" borderId="8" xfId="0" applyFont="1" applyBorder="1" applyAlignment="1">
      <alignment vertical="center" wrapText="1"/>
    </xf>
    <xf numFmtId="0" fontId="13"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horizontal="center" vertical="center" wrapText="1"/>
    </xf>
    <xf numFmtId="0" fontId="8" fillId="0" borderId="22" xfId="0" applyFont="1" applyBorder="1" applyAlignment="1">
      <alignment vertical="center" wrapText="1"/>
    </xf>
    <xf numFmtId="0" fontId="8" fillId="0" borderId="11" xfId="0" applyFont="1" applyBorder="1" applyAlignment="1">
      <alignment horizontal="left" vertical="center" wrapText="1"/>
    </xf>
    <xf numFmtId="0" fontId="8" fillId="0" borderId="11" xfId="0" applyFont="1" applyBorder="1" applyAlignment="1">
      <alignment vertical="center"/>
    </xf>
    <xf numFmtId="0" fontId="8" fillId="0" borderId="11" xfId="0" applyFont="1" applyBorder="1" applyAlignment="1">
      <alignment vertical="center" wrapText="1"/>
    </xf>
    <xf numFmtId="0" fontId="8" fillId="0" borderId="11"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23" xfId="0" applyFont="1" applyBorder="1" applyAlignment="1">
      <alignment vertical="center" wrapText="1"/>
    </xf>
    <xf numFmtId="0" fontId="8" fillId="0" borderId="13" xfId="0" applyFont="1" applyBorder="1" applyAlignment="1">
      <alignment vertical="center" wrapText="1"/>
    </xf>
    <xf numFmtId="0" fontId="8" fillId="0" borderId="13" xfId="0" applyFont="1" applyBorder="1" applyAlignment="1">
      <alignment vertical="center"/>
    </xf>
    <xf numFmtId="0" fontId="13" fillId="0" borderId="11" xfId="0" applyFont="1" applyBorder="1" applyAlignment="1">
      <alignment vertical="center" wrapText="1"/>
    </xf>
    <xf numFmtId="0" fontId="13" fillId="0" borderId="11" xfId="0" applyFont="1" applyBorder="1" applyAlignment="1">
      <alignment horizontal="center" vertical="center" wrapText="1"/>
    </xf>
    <xf numFmtId="0" fontId="13" fillId="0" borderId="12" xfId="0" applyFont="1" applyBorder="1" applyAlignment="1">
      <alignment horizontal="center" vertical="center" wrapText="1"/>
    </xf>
    <xf numFmtId="0" fontId="13" fillId="0" borderId="23" xfId="0" applyFont="1" applyBorder="1" applyAlignment="1">
      <alignment vertical="center" wrapText="1"/>
    </xf>
    <xf numFmtId="0" fontId="8" fillId="0" borderId="20" xfId="0" applyFont="1" applyBorder="1" applyAlignment="1">
      <alignment vertical="center" wrapText="1"/>
    </xf>
    <xf numFmtId="0" fontId="8" fillId="0" borderId="20" xfId="0" applyFont="1" applyBorder="1" applyAlignment="1">
      <alignment horizontal="center" vertical="center" wrapText="1"/>
    </xf>
    <xf numFmtId="49" fontId="12" fillId="0" borderId="20" xfId="0" applyNumberFormat="1" applyFont="1" applyBorder="1" applyAlignment="1">
      <alignment horizontal="center" vertical="center"/>
    </xf>
    <xf numFmtId="9" fontId="8" fillId="0" borderId="11" xfId="0" applyNumberFormat="1" applyFont="1" applyBorder="1" applyAlignment="1">
      <alignment horizontal="center" vertical="center" wrapText="1"/>
    </xf>
    <xf numFmtId="0" fontId="8" fillId="0" borderId="25" xfId="0" applyFont="1" applyBorder="1" applyAlignment="1">
      <alignment vertical="center" wrapText="1"/>
    </xf>
    <xf numFmtId="0" fontId="8" fillId="0" borderId="20" xfId="0" applyFont="1" applyBorder="1"/>
    <xf numFmtId="0" fontId="22" fillId="0" borderId="26" xfId="0" applyFont="1" applyBorder="1" applyAlignment="1">
      <alignment horizontal="center" vertical="center"/>
    </xf>
    <xf numFmtId="0" fontId="14" fillId="0" borderId="20" xfId="0" applyFont="1" applyBorder="1" applyAlignment="1">
      <alignment horizontal="center" vertical="center"/>
    </xf>
    <xf numFmtId="0" fontId="14" fillId="0" borderId="20" xfId="0" applyFont="1" applyBorder="1" applyAlignment="1">
      <alignment horizontal="center" vertical="center" wrapText="1"/>
    </xf>
    <xf numFmtId="0" fontId="13" fillId="0" borderId="11" xfId="0" applyFont="1" applyBorder="1" applyAlignment="1">
      <alignment horizontal="left" vertical="center" wrapText="1"/>
    </xf>
    <xf numFmtId="0" fontId="15" fillId="0" borderId="8" xfId="0" applyFont="1" applyBorder="1"/>
    <xf numFmtId="3" fontId="8" fillId="0" borderId="11" xfId="0" applyNumberFormat="1" applyFont="1" applyBorder="1" applyAlignment="1">
      <alignment horizontal="center" vertical="center" wrapText="1"/>
    </xf>
    <xf numFmtId="0" fontId="8" fillId="0" borderId="24" xfId="0" applyFont="1" applyBorder="1" applyAlignment="1">
      <alignment horizontal="center" vertical="center" wrapText="1"/>
    </xf>
    <xf numFmtId="0" fontId="13" fillId="0" borderId="13" xfId="0" applyFont="1" applyBorder="1" applyAlignment="1">
      <alignment vertical="center" wrapText="1"/>
    </xf>
    <xf numFmtId="3" fontId="8" fillId="0" borderId="12" xfId="0" applyNumberFormat="1" applyFont="1" applyBorder="1" applyAlignment="1">
      <alignment horizontal="center" vertical="center" wrapText="1"/>
    </xf>
    <xf numFmtId="49" fontId="8" fillId="0" borderId="24" xfId="0" applyNumberFormat="1" applyFont="1" applyBorder="1" applyAlignment="1">
      <alignment horizontal="center" vertical="center"/>
    </xf>
    <xf numFmtId="0" fontId="8" fillId="0" borderId="10" xfId="0" applyFont="1" applyBorder="1" applyAlignment="1">
      <alignment vertical="center" wrapText="1"/>
    </xf>
    <xf numFmtId="0" fontId="8" fillId="0" borderId="13" xfId="0" applyFont="1" applyBorder="1" applyAlignment="1">
      <alignment horizontal="center" vertical="center" wrapText="1"/>
    </xf>
    <xf numFmtId="0" fontId="22" fillId="0" borderId="27" xfId="0" applyFont="1" applyBorder="1" applyAlignment="1">
      <alignment horizontal="center" vertical="center"/>
    </xf>
    <xf numFmtId="0" fontId="14" fillId="0" borderId="27" xfId="0" applyFont="1" applyBorder="1" applyAlignment="1">
      <alignment horizontal="center" vertical="center"/>
    </xf>
    <xf numFmtId="49" fontId="8" fillId="0" borderId="10" xfId="0" applyNumberFormat="1" applyFont="1" applyBorder="1" applyAlignment="1">
      <alignment horizontal="center" vertical="center"/>
    </xf>
    <xf numFmtId="0" fontId="8" fillId="0" borderId="13" xfId="0" applyFont="1" applyBorder="1" applyAlignment="1">
      <alignment horizontal="left" vertical="center" wrapText="1"/>
    </xf>
    <xf numFmtId="0" fontId="13" fillId="0" borderId="13" xfId="0" applyFont="1" applyBorder="1" applyAlignment="1">
      <alignment vertical="center"/>
    </xf>
    <xf numFmtId="0" fontId="8" fillId="0" borderId="19" xfId="0" applyFont="1" applyBorder="1" applyAlignment="1">
      <alignment horizontal="center" vertical="center" wrapText="1"/>
    </xf>
    <xf numFmtId="0" fontId="8" fillId="0" borderId="20" xfId="0" applyFont="1" applyBorder="1" applyAlignment="1">
      <alignment horizontal="left" vertical="center" wrapText="1"/>
    </xf>
    <xf numFmtId="0" fontId="8" fillId="0" borderId="20" xfId="0" applyFont="1" applyBorder="1" applyAlignment="1">
      <alignment vertical="center"/>
    </xf>
    <xf numFmtId="49" fontId="8" fillId="0" borderId="20" xfId="0" applyNumberFormat="1" applyFont="1" applyBorder="1" applyAlignment="1">
      <alignment vertical="center"/>
    </xf>
    <xf numFmtId="49" fontId="8" fillId="0" borderId="20" xfId="0" applyNumberFormat="1" applyFont="1" applyBorder="1" applyAlignment="1">
      <alignment vertical="center" wrapText="1"/>
    </xf>
    <xf numFmtId="0" fontId="22" fillId="0" borderId="28" xfId="0" applyFont="1" applyBorder="1" applyAlignment="1">
      <alignment horizontal="center" vertical="center"/>
    </xf>
    <xf numFmtId="0" fontId="14" fillId="0" borderId="28" xfId="0" applyFont="1" applyBorder="1" applyAlignment="1">
      <alignment horizontal="center" vertical="center"/>
    </xf>
    <xf numFmtId="49" fontId="8" fillId="0" borderId="13" xfId="0" applyNumberFormat="1" applyFont="1" applyBorder="1" applyAlignment="1">
      <alignment vertical="center" wrapText="1"/>
    </xf>
    <xf numFmtId="0" fontId="8" fillId="0" borderId="29" xfId="0" applyFont="1" applyBorder="1" applyAlignment="1">
      <alignment vertical="center" wrapText="1"/>
    </xf>
    <xf numFmtId="49" fontId="8" fillId="0" borderId="8" xfId="0" applyNumberFormat="1" applyFont="1" applyBorder="1" applyAlignment="1">
      <alignment horizontal="left" vertical="center" wrapText="1"/>
    </xf>
    <xf numFmtId="49" fontId="8" fillId="0" borderId="8" xfId="0" applyNumberFormat="1" applyFont="1" applyBorder="1" applyAlignment="1">
      <alignment vertical="center" wrapText="1"/>
    </xf>
    <xf numFmtId="49" fontId="8" fillId="0" borderId="11" xfId="0" applyNumberFormat="1" applyFont="1" applyBorder="1" applyAlignment="1">
      <alignment horizontal="left" vertical="center" wrapText="1"/>
    </xf>
    <xf numFmtId="49" fontId="8" fillId="0" borderId="11" xfId="0" applyNumberFormat="1" applyFont="1" applyBorder="1" applyAlignment="1">
      <alignment vertical="center" wrapText="1"/>
    </xf>
    <xf numFmtId="49" fontId="13" fillId="0" borderId="11" xfId="0" applyNumberFormat="1" applyFont="1" applyBorder="1" applyAlignment="1">
      <alignment horizontal="left" vertical="center" wrapText="1"/>
    </xf>
    <xf numFmtId="49" fontId="8" fillId="0" borderId="10" xfId="0" applyNumberFormat="1" applyFont="1" applyBorder="1" applyAlignment="1">
      <alignment vertical="center"/>
    </xf>
    <xf numFmtId="0" fontId="8" fillId="0" borderId="10" xfId="0" applyFont="1" applyBorder="1" applyAlignment="1">
      <alignment horizontal="center" vertical="center" wrapText="1"/>
    </xf>
    <xf numFmtId="0" fontId="8" fillId="0" borderId="14" xfId="0" applyFont="1" applyBorder="1" applyAlignment="1">
      <alignment vertical="center" wrapText="1"/>
    </xf>
    <xf numFmtId="0" fontId="8" fillId="0" borderId="14" xfId="0" applyFont="1" applyBorder="1" applyAlignment="1">
      <alignment horizontal="left" vertical="center" wrapText="1"/>
    </xf>
    <xf numFmtId="0" fontId="8" fillId="0" borderId="14" xfId="0" applyFont="1" applyBorder="1" applyAlignment="1">
      <alignment horizontal="center" vertical="center" wrapText="1"/>
    </xf>
    <xf numFmtId="0" fontId="8" fillId="0" borderId="15" xfId="0" applyFont="1" applyBorder="1" applyAlignment="1">
      <alignment horizontal="center" vertical="center" wrapText="1"/>
    </xf>
    <xf numFmtId="49" fontId="8" fillId="0" borderId="16" xfId="0" applyNumberFormat="1" applyFont="1" applyBorder="1" applyAlignment="1">
      <alignment vertical="center"/>
    </xf>
    <xf numFmtId="0" fontId="8" fillId="0" borderId="16" xfId="0" applyFont="1" applyBorder="1" applyAlignment="1">
      <alignment vertical="center" wrapText="1"/>
    </xf>
    <xf numFmtId="0" fontId="8" fillId="0" borderId="16" xfId="0" applyFont="1" applyBorder="1" applyAlignment="1">
      <alignment horizontal="center" vertical="center" wrapText="1"/>
    </xf>
    <xf numFmtId="0" fontId="8" fillId="0" borderId="16" xfId="0" applyFont="1" applyBorder="1" applyAlignment="1">
      <alignment vertical="center"/>
    </xf>
    <xf numFmtId="0" fontId="12" fillId="0" borderId="16" xfId="0" applyFont="1" applyBorder="1" applyAlignment="1">
      <alignment vertical="center" wrapText="1"/>
    </xf>
    <xf numFmtId="0" fontId="8" fillId="0" borderId="17" xfId="0" applyFont="1" applyBorder="1" applyAlignment="1">
      <alignment vertical="center" wrapText="1"/>
    </xf>
    <xf numFmtId="0" fontId="8" fillId="0" borderId="17" xfId="0" applyFont="1" applyBorder="1" applyAlignment="1">
      <alignment horizontal="center" vertical="center" wrapText="1"/>
    </xf>
    <xf numFmtId="0" fontId="8" fillId="0" borderId="18" xfId="0" applyFont="1" applyBorder="1" applyAlignment="1">
      <alignment horizontal="center" vertical="center" wrapText="1"/>
    </xf>
    <xf numFmtId="0" fontId="12" fillId="0" borderId="13" xfId="0" applyFont="1" applyBorder="1" applyAlignment="1">
      <alignment vertical="center" wrapText="1"/>
    </xf>
    <xf numFmtId="0" fontId="12" fillId="0" borderId="11" xfId="0" applyFont="1" applyBorder="1" applyAlignment="1">
      <alignment vertical="center" wrapText="1"/>
    </xf>
    <xf numFmtId="49" fontId="8" fillId="0" borderId="13" xfId="0" applyNumberFormat="1" applyFont="1" applyBorder="1" applyAlignment="1">
      <alignment vertical="center"/>
    </xf>
    <xf numFmtId="10" fontId="8" fillId="0" borderId="11" xfId="0" applyNumberFormat="1" applyFont="1" applyBorder="1" applyAlignment="1">
      <alignment horizontal="center" vertical="center" wrapText="1"/>
    </xf>
    <xf numFmtId="9" fontId="8" fillId="0" borderId="12" xfId="0" applyNumberFormat="1" applyFont="1" applyBorder="1" applyAlignment="1">
      <alignment horizontal="center" vertical="center" wrapText="1"/>
    </xf>
    <xf numFmtId="0" fontId="8" fillId="0" borderId="14" xfId="0" applyFont="1" applyBorder="1" applyAlignment="1">
      <alignment vertical="center"/>
    </xf>
    <xf numFmtId="0" fontId="12" fillId="0" borderId="14" xfId="0" applyFont="1" applyBorder="1" applyAlignment="1">
      <alignment vertical="center" wrapText="1"/>
    </xf>
    <xf numFmtId="0" fontId="8" fillId="0" borderId="17" xfId="0" applyFont="1" applyBorder="1" applyAlignment="1">
      <alignment horizontal="left" vertical="center" wrapText="1"/>
    </xf>
    <xf numFmtId="49" fontId="13" fillId="0" borderId="13" xfId="0" applyNumberFormat="1" applyFont="1" applyBorder="1" applyAlignment="1">
      <alignment vertical="center"/>
    </xf>
    <xf numFmtId="0" fontId="13" fillId="0" borderId="13" xfId="0" applyFont="1" applyBorder="1" applyAlignment="1">
      <alignment horizontal="left" vertical="center" wrapText="1"/>
    </xf>
    <xf numFmtId="9" fontId="8" fillId="0" borderId="13" xfId="0" applyNumberFormat="1" applyFont="1" applyBorder="1" applyAlignment="1">
      <alignment horizontal="center" vertical="center" wrapText="1"/>
    </xf>
    <xf numFmtId="49" fontId="14" fillId="0" borderId="13" xfId="0" applyNumberFormat="1" applyFont="1" applyBorder="1" applyAlignment="1">
      <alignment vertical="center"/>
    </xf>
    <xf numFmtId="0" fontId="14" fillId="0" borderId="13" xfId="0" applyFont="1" applyBorder="1" applyAlignment="1">
      <alignment vertical="center" wrapText="1"/>
    </xf>
    <xf numFmtId="0" fontId="14" fillId="0" borderId="13" xfId="0" applyFont="1" applyBorder="1" applyAlignment="1">
      <alignment horizontal="center" vertical="center" wrapText="1"/>
    </xf>
    <xf numFmtId="0" fontId="14" fillId="0" borderId="11" xfId="0" applyFont="1" applyBorder="1" applyAlignment="1">
      <alignment vertical="center" wrapText="1"/>
    </xf>
    <xf numFmtId="0" fontId="14" fillId="0" borderId="11" xfId="0" applyFont="1" applyBorder="1" applyAlignment="1">
      <alignment horizontal="left" vertical="center" wrapText="1"/>
    </xf>
    <xf numFmtId="0" fontId="14" fillId="0" borderId="11" xfId="0" applyFont="1" applyBorder="1" applyAlignment="1">
      <alignment horizontal="left" vertical="center"/>
    </xf>
    <xf numFmtId="0" fontId="14" fillId="0" borderId="11" xfId="0" applyFont="1" applyBorder="1" applyAlignment="1">
      <alignment horizontal="center" vertical="center" wrapText="1"/>
    </xf>
    <xf numFmtId="0" fontId="14" fillId="0" borderId="13" xfId="0" applyFont="1" applyBorder="1" applyAlignment="1">
      <alignment vertical="center"/>
    </xf>
    <xf numFmtId="9" fontId="14" fillId="0" borderId="11" xfId="0" applyNumberFormat="1" applyFont="1" applyBorder="1" applyAlignment="1">
      <alignment horizontal="center" vertical="center" wrapText="1"/>
    </xf>
    <xf numFmtId="9" fontId="14" fillId="0" borderId="11" xfId="0" applyNumberFormat="1" applyFont="1" applyBorder="1" applyAlignment="1">
      <alignment horizontal="center" vertical="center"/>
    </xf>
    <xf numFmtId="0" fontId="14" fillId="0" borderId="11" xfId="0" applyFont="1" applyBorder="1" applyAlignment="1">
      <alignment horizontal="center" vertical="center"/>
    </xf>
    <xf numFmtId="0" fontId="17" fillId="0" borderId="13" xfId="0" applyFont="1" applyBorder="1" applyAlignment="1">
      <alignment vertical="center"/>
    </xf>
    <xf numFmtId="0" fontId="14" fillId="0" borderId="13" xfId="0" applyFont="1" applyBorder="1" applyAlignment="1">
      <alignment horizontal="left" vertical="center" wrapText="1"/>
    </xf>
    <xf numFmtId="9" fontId="14" fillId="0" borderId="13" xfId="0" applyNumberFormat="1" applyFont="1" applyBorder="1" applyAlignment="1">
      <alignment horizontal="center" vertical="center" wrapText="1"/>
    </xf>
    <xf numFmtId="49" fontId="14" fillId="0" borderId="16" xfId="0" applyNumberFormat="1" applyFont="1" applyBorder="1" applyAlignment="1">
      <alignment vertical="center"/>
    </xf>
    <xf numFmtId="0" fontId="14" fillId="0" borderId="16" xfId="0" applyFont="1" applyBorder="1" applyAlignment="1">
      <alignment vertical="center" wrapText="1"/>
    </xf>
    <xf numFmtId="0" fontId="14" fillId="0" borderId="16" xfId="0" applyFont="1" applyBorder="1" applyAlignment="1">
      <alignment horizontal="center" vertical="center" wrapText="1"/>
    </xf>
    <xf numFmtId="0" fontId="14" fillId="0" borderId="17" xfId="0" applyFont="1" applyBorder="1" applyAlignment="1">
      <alignment vertical="center" wrapText="1"/>
    </xf>
    <xf numFmtId="9" fontId="14" fillId="0" borderId="17" xfId="0" applyNumberFormat="1" applyFont="1" applyBorder="1" applyAlignment="1">
      <alignment horizontal="center" vertical="center" wrapText="1"/>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14" fillId="0" borderId="12" xfId="0" applyFont="1" applyBorder="1" applyAlignment="1">
      <alignment horizontal="center" vertical="center" wrapText="1"/>
    </xf>
    <xf numFmtId="0" fontId="17" fillId="0" borderId="13" xfId="0" applyFont="1" applyBorder="1" applyAlignment="1">
      <alignment vertical="center" wrapText="1"/>
    </xf>
    <xf numFmtId="0" fontId="17" fillId="0" borderId="11" xfId="0" applyFont="1" applyBorder="1" applyAlignment="1">
      <alignment vertical="center" wrapText="1"/>
    </xf>
    <xf numFmtId="9" fontId="14" fillId="0" borderId="12" xfId="0" applyNumberFormat="1" applyFont="1" applyBorder="1" applyAlignment="1">
      <alignment horizontal="center" vertical="center" wrapText="1"/>
    </xf>
    <xf numFmtId="0" fontId="14" fillId="0" borderId="19" xfId="0" applyFont="1" applyBorder="1" applyAlignment="1">
      <alignment horizontal="center" vertical="center" wrapText="1"/>
    </xf>
    <xf numFmtId="0" fontId="14" fillId="0" borderId="17" xfId="0" applyFont="1" applyBorder="1" applyAlignment="1">
      <alignment horizontal="left" vertical="center" wrapText="1"/>
    </xf>
    <xf numFmtId="49" fontId="14" fillId="0" borderId="11" xfId="0" applyNumberFormat="1" applyFont="1" applyBorder="1" applyAlignment="1">
      <alignment vertical="center"/>
    </xf>
    <xf numFmtId="9" fontId="14" fillId="0" borderId="19" xfId="0" applyNumberFormat="1" applyFont="1" applyBorder="1" applyAlignment="1">
      <alignment horizontal="center" vertical="center" wrapText="1"/>
    </xf>
    <xf numFmtId="0" fontId="17" fillId="0" borderId="17" xfId="0" applyFont="1" applyBorder="1" applyAlignment="1">
      <alignment vertical="center" wrapText="1"/>
    </xf>
    <xf numFmtId="0" fontId="17" fillId="0" borderId="17" xfId="0" applyFont="1" applyBorder="1" applyAlignment="1">
      <alignment horizontal="center" vertical="center" wrapText="1"/>
    </xf>
    <xf numFmtId="0" fontId="17" fillId="0" borderId="18" xfId="0" applyFont="1" applyBorder="1" applyAlignment="1">
      <alignment horizontal="center" vertical="center" wrapText="1"/>
    </xf>
    <xf numFmtId="0" fontId="17" fillId="0" borderId="11" xfId="0" applyFont="1" applyBorder="1" applyAlignment="1">
      <alignment horizontal="center" vertical="center" wrapText="1"/>
    </xf>
    <xf numFmtId="0" fontId="17" fillId="0" borderId="12" xfId="0" applyFont="1" applyBorder="1" applyAlignment="1">
      <alignment horizontal="center" vertical="center" wrapText="1"/>
    </xf>
    <xf numFmtId="49" fontId="17" fillId="0" borderId="13" xfId="0" applyNumberFormat="1" applyFont="1" applyBorder="1" applyAlignment="1">
      <alignment vertical="center"/>
    </xf>
    <xf numFmtId="9" fontId="17" fillId="0" borderId="11" xfId="0" applyNumberFormat="1" applyFont="1" applyBorder="1" applyAlignment="1">
      <alignment horizontal="center" vertical="center" wrapText="1"/>
    </xf>
    <xf numFmtId="9" fontId="17" fillId="0" borderId="12" xfId="0" applyNumberFormat="1" applyFont="1" applyBorder="1" applyAlignment="1">
      <alignment horizontal="center" vertical="center" wrapText="1"/>
    </xf>
    <xf numFmtId="0" fontId="17" fillId="0" borderId="13" xfId="0" applyFont="1" applyBorder="1" applyAlignment="1">
      <alignment horizontal="center" vertical="center" wrapText="1"/>
    </xf>
    <xf numFmtId="49" fontId="14" fillId="0" borderId="14" xfId="0" applyNumberFormat="1" applyFont="1" applyBorder="1" applyAlignment="1">
      <alignment vertical="center"/>
    </xf>
    <xf numFmtId="0" fontId="14" fillId="0" borderId="14" xfId="0" applyFont="1" applyBorder="1" applyAlignment="1">
      <alignment vertical="center" wrapText="1"/>
    </xf>
    <xf numFmtId="0" fontId="14" fillId="0" borderId="14" xfId="0" applyFont="1" applyBorder="1" applyAlignment="1">
      <alignment horizontal="center" vertical="center" wrapText="1"/>
    </xf>
    <xf numFmtId="0" fontId="17" fillId="0" borderId="14" xfId="0" applyFont="1" applyBorder="1" applyAlignment="1">
      <alignment vertical="center" wrapText="1"/>
    </xf>
    <xf numFmtId="0" fontId="17" fillId="0" borderId="14" xfId="0" applyFont="1" applyBorder="1" applyAlignment="1">
      <alignment horizontal="center" vertical="center" wrapText="1"/>
    </xf>
    <xf numFmtId="0" fontId="17" fillId="0" borderId="15"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9" xfId="0" applyFont="1" applyBorder="1" applyAlignment="1">
      <alignment horizontal="center" vertical="center" wrapText="1"/>
    </xf>
    <xf numFmtId="0" fontId="13" fillId="0" borderId="29" xfId="0" applyFont="1" applyBorder="1" applyAlignment="1">
      <alignment horizontal="center" vertical="center" wrapText="1"/>
    </xf>
    <xf numFmtId="3" fontId="8" fillId="0" borderId="29" xfId="0" applyNumberFormat="1" applyFont="1" applyBorder="1" applyAlignment="1">
      <alignment horizontal="center" vertical="center" wrapText="1"/>
    </xf>
    <xf numFmtId="0" fontId="8" fillId="0" borderId="25" xfId="0" applyFont="1" applyBorder="1" applyAlignment="1">
      <alignment horizontal="center" vertical="center" wrapText="1"/>
    </xf>
    <xf numFmtId="0" fontId="8" fillId="0" borderId="0" xfId="0" applyFont="1" applyAlignment="1">
      <alignment horizontal="center" vertical="center" wrapText="1"/>
    </xf>
    <xf numFmtId="0" fontId="8" fillId="0" borderId="31" xfId="0" applyFont="1" applyBorder="1" applyAlignment="1">
      <alignment horizontal="center" vertical="center" wrapText="1"/>
    </xf>
    <xf numFmtId="0" fontId="8" fillId="0" borderId="32" xfId="0" applyFont="1" applyBorder="1" applyAlignment="1">
      <alignment horizontal="center" vertical="center" wrapText="1"/>
    </xf>
    <xf numFmtId="9" fontId="8" fillId="0" borderId="29" xfId="0" applyNumberFormat="1" applyFont="1" applyBorder="1" applyAlignment="1">
      <alignment horizontal="center" vertical="center" wrapText="1"/>
    </xf>
    <xf numFmtId="0" fontId="14" fillId="0" borderId="32" xfId="0" applyFont="1" applyBorder="1" applyAlignment="1">
      <alignment horizontal="center" vertical="center" wrapText="1"/>
    </xf>
    <xf numFmtId="0" fontId="14" fillId="0" borderId="29" xfId="0" applyFont="1" applyBorder="1" applyAlignment="1">
      <alignment horizontal="center" vertical="center" wrapText="1"/>
    </xf>
    <xf numFmtId="9" fontId="14" fillId="0" borderId="29" xfId="0" applyNumberFormat="1" applyFont="1" applyBorder="1" applyAlignment="1">
      <alignment horizontal="center" vertical="center" wrapText="1"/>
    </xf>
    <xf numFmtId="0" fontId="14" fillId="0" borderId="25" xfId="0" applyFont="1" applyBorder="1" applyAlignment="1">
      <alignment horizontal="center" vertical="center" wrapText="1"/>
    </xf>
    <xf numFmtId="9" fontId="14" fillId="0" borderId="25" xfId="0" applyNumberFormat="1" applyFont="1" applyBorder="1" applyAlignment="1">
      <alignment horizontal="center" vertical="center" wrapText="1"/>
    </xf>
    <xf numFmtId="0" fontId="17" fillId="0" borderId="32" xfId="0" applyFont="1" applyBorder="1" applyAlignment="1">
      <alignment horizontal="center" vertical="center" wrapText="1"/>
    </xf>
    <xf numFmtId="0" fontId="17" fillId="0" borderId="29" xfId="0" applyFont="1" applyBorder="1" applyAlignment="1">
      <alignment horizontal="center" vertical="center" wrapText="1"/>
    </xf>
    <xf numFmtId="9" fontId="17" fillId="0" borderId="29" xfId="0" applyNumberFormat="1" applyFont="1" applyBorder="1" applyAlignment="1">
      <alignment horizontal="center" vertical="center" wrapText="1"/>
    </xf>
    <xf numFmtId="0" fontId="17" fillId="0" borderId="31" xfId="0" applyFont="1" applyBorder="1" applyAlignment="1">
      <alignment horizontal="center" vertical="center" wrapText="1"/>
    </xf>
    <xf numFmtId="0" fontId="10" fillId="8" borderId="2" xfId="0" applyFont="1" applyFill="1" applyBorder="1" applyAlignment="1">
      <alignment horizontal="center" vertical="center" wrapText="1"/>
    </xf>
    <xf numFmtId="0" fontId="10" fillId="8" borderId="5" xfId="0" applyFont="1" applyFill="1" applyBorder="1" applyAlignment="1">
      <alignment horizontal="center" vertical="center" wrapText="1"/>
    </xf>
    <xf numFmtId="0" fontId="10" fillId="8" borderId="6" xfId="0" applyFont="1" applyFill="1" applyBorder="1" applyAlignment="1">
      <alignment horizontal="center" vertical="center" wrapText="1"/>
    </xf>
    <xf numFmtId="0" fontId="1" fillId="7" borderId="2"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4" borderId="5"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2" borderId="4" xfId="0" applyFont="1" applyFill="1" applyBorder="1" applyAlignment="1">
      <alignment horizontal="center" vertical="center" wrapText="1"/>
    </xf>
  </cellXfs>
  <cellStyles count="2">
    <cellStyle name="Hyperlink" xfId="1" xr:uid="{B95B3A3F-B630-4589-B752-197792A0BA18}"/>
    <cellStyle name="Normal" xfId="0" builtinId="0"/>
  </cellStyles>
  <dxfs count="5">
    <dxf>
      <font>
        <color rgb="FF9C0006"/>
      </font>
      <fill>
        <patternFill>
          <bgColor rgb="FFFFC7CE"/>
        </patternFill>
      </fill>
    </dxf>
    <dxf>
      <font>
        <color rgb="FF9C5700"/>
      </font>
      <fill>
        <patternFill>
          <bgColor rgb="FFFFEB9C"/>
        </patternFill>
      </fill>
    </dxf>
    <dxf>
      <font>
        <color theme="4" tint="-0.249977111117893"/>
      </font>
      <fill>
        <patternFill patternType="solid">
          <bgColor theme="4" tint="0.79998168889431442"/>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6FD21-D181-4779-96F2-AD62741608A2}">
  <dimension ref="A1:A6"/>
  <sheetViews>
    <sheetView workbookViewId="0">
      <selection activeCell="A9" sqref="A9"/>
    </sheetView>
  </sheetViews>
  <sheetFormatPr defaultRowHeight="14.4" x14ac:dyDescent="0.3"/>
  <cols>
    <col min="1" max="1" width="74.5546875" customWidth="1"/>
  </cols>
  <sheetData>
    <row r="1" spans="1:1" ht="18" x14ac:dyDescent="0.35">
      <c r="A1" s="7" t="s">
        <v>13</v>
      </c>
    </row>
    <row r="2" spans="1:1" ht="43.2" x14ac:dyDescent="0.3">
      <c r="A2" s="8" t="s">
        <v>14</v>
      </c>
    </row>
    <row r="5" spans="1:1" ht="72" x14ac:dyDescent="0.3">
      <c r="A5" s="8" t="s">
        <v>15</v>
      </c>
    </row>
    <row r="6" spans="1:1" x14ac:dyDescent="0.3">
      <c r="A6" s="8"/>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37CEB-C62B-4630-8BAC-C979D9379938}">
  <dimension ref="A1"/>
  <sheetViews>
    <sheetView workbookViewId="0">
      <selection activeCell="F35" sqref="F35"/>
    </sheetView>
  </sheetViews>
  <sheetFormatPr defaultRowHeight="14.4" x14ac:dyDescent="0.3"/>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77FC8-948A-4DB3-85AA-85145AB39F87}">
  <dimension ref="A1:AF367"/>
  <sheetViews>
    <sheetView tabSelected="1" topLeftCell="F1" zoomScale="90" zoomScaleNormal="90" workbookViewId="0">
      <selection activeCell="N3" sqref="N3"/>
    </sheetView>
  </sheetViews>
  <sheetFormatPr defaultColWidth="9.109375" defaultRowHeight="15.6" x14ac:dyDescent="0.35"/>
  <cols>
    <col min="1" max="1" width="9.109375" style="50"/>
    <col min="2" max="2" width="13" style="50" customWidth="1"/>
    <col min="3" max="3" width="7.44140625" style="54" customWidth="1"/>
    <col min="4" max="4" width="16.6640625" style="54" customWidth="1"/>
    <col min="5" max="5" width="7.6640625" style="51" customWidth="1"/>
    <col min="6" max="6" width="42.33203125" style="50" customWidth="1"/>
    <col min="7" max="7" width="11.109375" style="56" customWidth="1"/>
    <col min="8" max="8" width="44.109375" style="50" customWidth="1"/>
    <col min="9" max="9" width="14.33203125" style="50" hidden="1" customWidth="1"/>
    <col min="10" max="10" width="30.88671875" style="50" hidden="1" customWidth="1"/>
    <col min="11" max="11" width="19.5546875" style="50" hidden="1" customWidth="1"/>
    <col min="12" max="12" width="26.33203125" style="55" hidden="1" customWidth="1"/>
    <col min="13" max="14" width="19.33203125" style="55" customWidth="1"/>
    <col min="15" max="15" width="22.6640625" style="55" customWidth="1"/>
    <col min="16" max="30" width="9.109375" style="50"/>
    <col min="31" max="31" width="31" style="55" customWidth="1"/>
    <col min="32" max="32" width="22.109375" style="55" customWidth="1"/>
    <col min="33" max="16384" width="9.109375" style="50"/>
  </cols>
  <sheetData>
    <row r="1" spans="1:32" x14ac:dyDescent="0.35">
      <c r="C1" s="11"/>
      <c r="D1" s="11"/>
      <c r="E1" s="12"/>
      <c r="F1" s="13"/>
      <c r="G1" s="13"/>
      <c r="H1" s="13"/>
      <c r="I1" s="13"/>
      <c r="J1" s="13"/>
      <c r="K1" s="13"/>
      <c r="L1" s="13"/>
      <c r="M1" s="13"/>
      <c r="N1" s="13"/>
      <c r="O1" s="13"/>
      <c r="P1" s="13"/>
      <c r="Q1" s="209" t="s">
        <v>26</v>
      </c>
      <c r="R1" s="209"/>
      <c r="S1" s="209"/>
      <c r="T1" s="210" t="s">
        <v>1511</v>
      </c>
      <c r="U1" s="211"/>
      <c r="V1" s="211"/>
      <c r="W1" s="211"/>
      <c r="X1" s="211"/>
      <c r="Y1" s="211"/>
      <c r="Z1" s="211"/>
      <c r="AA1" s="211"/>
      <c r="AB1" s="211"/>
      <c r="AC1" s="211"/>
      <c r="AD1" s="211"/>
      <c r="AE1" s="13"/>
      <c r="AF1" s="13"/>
    </row>
    <row r="2" spans="1:32" ht="52.8" x14ac:dyDescent="0.35">
      <c r="A2" s="48" t="s">
        <v>1147</v>
      </c>
      <c r="B2" s="48" t="s">
        <v>1071</v>
      </c>
      <c r="C2" s="48" t="s">
        <v>1148</v>
      </c>
      <c r="D2" s="48" t="s">
        <v>27</v>
      </c>
      <c r="E2" s="49" t="s">
        <v>1080</v>
      </c>
      <c r="F2" s="49" t="s">
        <v>28</v>
      </c>
      <c r="G2" s="49" t="s">
        <v>1081</v>
      </c>
      <c r="H2" s="14" t="s">
        <v>29</v>
      </c>
      <c r="I2" s="14" t="s">
        <v>30</v>
      </c>
      <c r="J2" s="14" t="s">
        <v>31</v>
      </c>
      <c r="K2" s="14" t="s">
        <v>32</v>
      </c>
      <c r="L2" s="14" t="s">
        <v>33</v>
      </c>
      <c r="M2" s="14" t="s">
        <v>1512</v>
      </c>
      <c r="N2" s="14" t="s">
        <v>1513</v>
      </c>
      <c r="O2" s="14" t="s">
        <v>1514</v>
      </c>
      <c r="P2" s="14" t="s">
        <v>34</v>
      </c>
      <c r="Q2" s="14" t="s">
        <v>35</v>
      </c>
      <c r="R2" s="14" t="s">
        <v>36</v>
      </c>
      <c r="S2" s="14" t="s">
        <v>37</v>
      </c>
      <c r="T2" s="14">
        <v>2025</v>
      </c>
      <c r="U2" s="14">
        <v>2026</v>
      </c>
      <c r="V2" s="14">
        <v>2027</v>
      </c>
      <c r="W2" s="14">
        <v>2028</v>
      </c>
      <c r="X2" s="14">
        <v>2029</v>
      </c>
      <c r="Y2" s="14">
        <v>2030</v>
      </c>
      <c r="Z2" s="14">
        <v>2031</v>
      </c>
      <c r="AA2" s="14">
        <v>2032</v>
      </c>
      <c r="AB2" s="14">
        <v>2033</v>
      </c>
      <c r="AC2" s="14">
        <v>2034</v>
      </c>
      <c r="AD2" s="14">
        <v>2035</v>
      </c>
      <c r="AE2" s="15" t="s">
        <v>38</v>
      </c>
      <c r="AF2" s="15" t="s">
        <v>39</v>
      </c>
    </row>
    <row r="3" spans="1:32" ht="66" x14ac:dyDescent="0.35">
      <c r="A3" s="60">
        <v>1</v>
      </c>
      <c r="B3" s="61" t="s">
        <v>1149</v>
      </c>
      <c r="C3" s="62" t="s">
        <v>1072</v>
      </c>
      <c r="D3" s="61" t="s">
        <v>1150</v>
      </c>
      <c r="E3" s="62" t="s">
        <v>40</v>
      </c>
      <c r="F3" s="63" t="s">
        <v>1079</v>
      </c>
      <c r="G3" s="64" t="s">
        <v>1075</v>
      </c>
      <c r="H3" s="65" t="s">
        <v>41</v>
      </c>
      <c r="I3" s="66" t="s">
        <v>42</v>
      </c>
      <c r="J3" s="67" t="s">
        <v>43</v>
      </c>
      <c r="K3" s="68" t="s">
        <v>44</v>
      </c>
      <c r="L3" s="69" t="s">
        <v>45</v>
      </c>
      <c r="M3" s="69" t="s">
        <v>1516</v>
      </c>
      <c r="N3" s="69"/>
      <c r="O3" s="69"/>
      <c r="P3" s="70">
        <v>1</v>
      </c>
      <c r="Q3" s="70">
        <v>1</v>
      </c>
      <c r="R3" s="70"/>
      <c r="S3" s="71"/>
      <c r="T3" s="191"/>
      <c r="U3" s="191"/>
      <c r="V3" s="191"/>
      <c r="W3" s="191"/>
      <c r="X3" s="191"/>
      <c r="Y3" s="191"/>
      <c r="Z3" s="191"/>
      <c r="AA3" s="191"/>
      <c r="AB3" s="191"/>
      <c r="AC3" s="191"/>
      <c r="AD3" s="191"/>
      <c r="AE3" s="16" t="s">
        <v>45</v>
      </c>
      <c r="AF3" s="16" t="s">
        <v>42</v>
      </c>
    </row>
    <row r="4" spans="1:32" ht="66" x14ac:dyDescent="0.35">
      <c r="A4" s="60">
        <v>1</v>
      </c>
      <c r="B4" s="61" t="s">
        <v>1149</v>
      </c>
      <c r="C4" s="62" t="s">
        <v>1072</v>
      </c>
      <c r="D4" s="61" t="s">
        <v>1150</v>
      </c>
      <c r="E4" s="62" t="s">
        <v>40</v>
      </c>
      <c r="F4" s="63" t="s">
        <v>1079</v>
      </c>
      <c r="G4" s="64" t="s">
        <v>1076</v>
      </c>
      <c r="H4" s="72" t="s">
        <v>46</v>
      </c>
      <c r="I4" s="73" t="s">
        <v>42</v>
      </c>
      <c r="J4" s="74" t="s">
        <v>47</v>
      </c>
      <c r="K4" s="75" t="s">
        <v>44</v>
      </c>
      <c r="L4" s="75" t="s">
        <v>48</v>
      </c>
      <c r="M4" s="69" t="s">
        <v>1516</v>
      </c>
      <c r="N4" s="75"/>
      <c r="O4" s="75"/>
      <c r="P4" s="76">
        <v>1</v>
      </c>
      <c r="Q4" s="76">
        <v>1</v>
      </c>
      <c r="R4" s="76"/>
      <c r="S4" s="77"/>
      <c r="T4" s="192"/>
      <c r="U4" s="192"/>
      <c r="V4" s="192"/>
      <c r="W4" s="192"/>
      <c r="X4" s="192"/>
      <c r="Y4" s="192"/>
      <c r="Z4" s="192"/>
      <c r="AA4" s="192"/>
      <c r="AB4" s="192"/>
      <c r="AC4" s="192"/>
      <c r="AD4" s="192"/>
      <c r="AE4" s="17" t="s">
        <v>48</v>
      </c>
      <c r="AF4" s="16" t="s">
        <v>42</v>
      </c>
    </row>
    <row r="5" spans="1:32" ht="66" x14ac:dyDescent="0.35">
      <c r="A5" s="60">
        <v>1</v>
      </c>
      <c r="B5" s="61" t="s">
        <v>1149</v>
      </c>
      <c r="C5" s="62" t="s">
        <v>1072</v>
      </c>
      <c r="D5" s="61" t="s">
        <v>1150</v>
      </c>
      <c r="E5" s="62" t="s">
        <v>40</v>
      </c>
      <c r="F5" s="63" t="s">
        <v>1079</v>
      </c>
      <c r="G5" s="64" t="s">
        <v>1077</v>
      </c>
      <c r="H5" s="78" t="s">
        <v>49</v>
      </c>
      <c r="I5" s="79" t="s">
        <v>42</v>
      </c>
      <c r="J5" s="80" t="s">
        <v>50</v>
      </c>
      <c r="K5" s="79" t="s">
        <v>51</v>
      </c>
      <c r="L5" s="75" t="s">
        <v>52</v>
      </c>
      <c r="M5" s="69" t="s">
        <v>1516</v>
      </c>
      <c r="N5" s="75"/>
      <c r="O5" s="75"/>
      <c r="P5" s="76">
        <v>1</v>
      </c>
      <c r="Q5" s="76">
        <v>1</v>
      </c>
      <c r="R5" s="76"/>
      <c r="S5" s="77"/>
      <c r="T5" s="192"/>
      <c r="U5" s="192"/>
      <c r="V5" s="192"/>
      <c r="W5" s="192"/>
      <c r="X5" s="192"/>
      <c r="Y5" s="192"/>
      <c r="Z5" s="192"/>
      <c r="AA5" s="192"/>
      <c r="AB5" s="192"/>
      <c r="AC5" s="192"/>
      <c r="AD5" s="192"/>
      <c r="AE5" s="20" t="s">
        <v>52</v>
      </c>
      <c r="AF5" s="16" t="s">
        <v>51</v>
      </c>
    </row>
    <row r="6" spans="1:32" ht="66" x14ac:dyDescent="0.35">
      <c r="A6" s="60">
        <v>1</v>
      </c>
      <c r="B6" s="61" t="s">
        <v>1149</v>
      </c>
      <c r="C6" s="62" t="s">
        <v>1072</v>
      </c>
      <c r="D6" s="61" t="s">
        <v>1150</v>
      </c>
      <c r="E6" s="62" t="s">
        <v>40</v>
      </c>
      <c r="F6" s="63" t="s">
        <v>1079</v>
      </c>
      <c r="G6" s="64" t="s">
        <v>1077</v>
      </c>
      <c r="H6" s="78" t="s">
        <v>49</v>
      </c>
      <c r="I6" s="79" t="s">
        <v>42</v>
      </c>
      <c r="J6" s="80" t="s">
        <v>50</v>
      </c>
      <c r="K6" s="79" t="s">
        <v>51</v>
      </c>
      <c r="L6" s="75" t="s">
        <v>53</v>
      </c>
      <c r="M6" s="69" t="s">
        <v>1516</v>
      </c>
      <c r="N6" s="75"/>
      <c r="O6" s="75"/>
      <c r="P6" s="76">
        <v>8</v>
      </c>
      <c r="Q6" s="76">
        <v>1</v>
      </c>
      <c r="R6" s="76">
        <v>3</v>
      </c>
      <c r="S6" s="77">
        <v>4</v>
      </c>
      <c r="T6" s="192"/>
      <c r="U6" s="192"/>
      <c r="V6" s="192"/>
      <c r="W6" s="192"/>
      <c r="X6" s="192"/>
      <c r="Y6" s="192"/>
      <c r="Z6" s="192"/>
      <c r="AA6" s="192"/>
      <c r="AB6" s="192"/>
      <c r="AC6" s="192"/>
      <c r="AD6" s="192"/>
      <c r="AE6" s="17" t="s">
        <v>54</v>
      </c>
      <c r="AF6" s="16" t="s">
        <v>51</v>
      </c>
    </row>
    <row r="7" spans="1:32" ht="66" x14ac:dyDescent="0.35">
      <c r="A7" s="60">
        <v>1</v>
      </c>
      <c r="B7" s="61" t="s">
        <v>1149</v>
      </c>
      <c r="C7" s="62" t="s">
        <v>1072</v>
      </c>
      <c r="D7" s="61" t="s">
        <v>1150</v>
      </c>
      <c r="E7" s="62" t="s">
        <v>40</v>
      </c>
      <c r="F7" s="63" t="s">
        <v>1079</v>
      </c>
      <c r="G7" s="64" t="s">
        <v>1078</v>
      </c>
      <c r="H7" s="72" t="s">
        <v>55</v>
      </c>
      <c r="I7" s="73" t="s">
        <v>42</v>
      </c>
      <c r="J7" s="74" t="s">
        <v>47</v>
      </c>
      <c r="K7" s="75" t="s">
        <v>44</v>
      </c>
      <c r="L7" s="81" t="s">
        <v>56</v>
      </c>
      <c r="M7" s="69" t="s">
        <v>1516</v>
      </c>
      <c r="N7" s="81"/>
      <c r="O7" s="81"/>
      <c r="P7" s="76">
        <v>44</v>
      </c>
      <c r="Q7" s="76">
        <v>12</v>
      </c>
      <c r="R7" s="76">
        <v>12</v>
      </c>
      <c r="S7" s="77">
        <v>20</v>
      </c>
      <c r="T7" s="192"/>
      <c r="U7" s="192"/>
      <c r="V7" s="192"/>
      <c r="W7" s="192"/>
      <c r="X7" s="192"/>
      <c r="Y7" s="192"/>
      <c r="Z7" s="192"/>
      <c r="AA7" s="192"/>
      <c r="AB7" s="192"/>
      <c r="AC7" s="192"/>
      <c r="AD7" s="192"/>
      <c r="AE7" s="22" t="s">
        <v>57</v>
      </c>
      <c r="AF7" s="16" t="s">
        <v>42</v>
      </c>
    </row>
    <row r="8" spans="1:32" ht="52.8" x14ac:dyDescent="0.35">
      <c r="A8" s="60">
        <v>1</v>
      </c>
      <c r="B8" s="61" t="s">
        <v>1149</v>
      </c>
      <c r="C8" s="62" t="s">
        <v>1072</v>
      </c>
      <c r="D8" s="61" t="s">
        <v>1150</v>
      </c>
      <c r="E8" s="62" t="s">
        <v>58</v>
      </c>
      <c r="F8" s="63" t="s">
        <v>1082</v>
      </c>
      <c r="G8" s="64" t="s">
        <v>1083</v>
      </c>
      <c r="H8" s="72" t="s">
        <v>59</v>
      </c>
      <c r="I8" s="73" t="s">
        <v>60</v>
      </c>
      <c r="J8" s="81" t="s">
        <v>61</v>
      </c>
      <c r="K8" s="75" t="s">
        <v>62</v>
      </c>
      <c r="L8" s="75" t="s">
        <v>63</v>
      </c>
      <c r="M8" s="75" t="s">
        <v>1515</v>
      </c>
      <c r="N8" s="75"/>
      <c r="O8" s="75"/>
      <c r="P8" s="76">
        <v>1</v>
      </c>
      <c r="Q8" s="76">
        <v>1</v>
      </c>
      <c r="R8" s="76"/>
      <c r="S8" s="77"/>
      <c r="T8" s="192"/>
      <c r="U8" s="192"/>
      <c r="V8" s="192"/>
      <c r="W8" s="192"/>
      <c r="X8" s="192"/>
      <c r="Y8" s="192"/>
      <c r="Z8" s="192"/>
      <c r="AA8" s="192"/>
      <c r="AB8" s="192"/>
      <c r="AC8" s="192"/>
      <c r="AD8" s="192"/>
      <c r="AE8" s="17" t="s">
        <v>64</v>
      </c>
      <c r="AF8" s="17" t="s">
        <v>65</v>
      </c>
    </row>
    <row r="9" spans="1:32" ht="52.8" x14ac:dyDescent="0.35">
      <c r="A9" s="60">
        <v>1</v>
      </c>
      <c r="B9" s="61" t="s">
        <v>1149</v>
      </c>
      <c r="C9" s="62" t="s">
        <v>1072</v>
      </c>
      <c r="D9" s="61" t="s">
        <v>1150</v>
      </c>
      <c r="E9" s="62" t="s">
        <v>58</v>
      </c>
      <c r="F9" s="63" t="s">
        <v>1082</v>
      </c>
      <c r="G9" s="64" t="s">
        <v>1084</v>
      </c>
      <c r="H9" s="72" t="s">
        <v>66</v>
      </c>
      <c r="I9" s="73" t="s">
        <v>42</v>
      </c>
      <c r="J9" s="74" t="s">
        <v>47</v>
      </c>
      <c r="K9" s="75" t="s">
        <v>51</v>
      </c>
      <c r="L9" s="75" t="s">
        <v>67</v>
      </c>
      <c r="M9" s="75" t="s">
        <v>1515</v>
      </c>
      <c r="N9" s="75"/>
      <c r="O9" s="75"/>
      <c r="P9" s="76">
        <v>1</v>
      </c>
      <c r="Q9" s="76">
        <v>1</v>
      </c>
      <c r="R9" s="76"/>
      <c r="S9" s="77"/>
      <c r="T9" s="192"/>
      <c r="U9" s="192"/>
      <c r="V9" s="192"/>
      <c r="W9" s="192"/>
      <c r="X9" s="192"/>
      <c r="Y9" s="192"/>
      <c r="Z9" s="192"/>
      <c r="AA9" s="192"/>
      <c r="AB9" s="192"/>
      <c r="AC9" s="192"/>
      <c r="AD9" s="192"/>
      <c r="AE9" s="20" t="s">
        <v>68</v>
      </c>
      <c r="AF9" s="16" t="s">
        <v>51</v>
      </c>
    </row>
    <row r="10" spans="1:32" ht="52.8" x14ac:dyDescent="0.35">
      <c r="A10" s="60">
        <v>1</v>
      </c>
      <c r="B10" s="61" t="s">
        <v>1149</v>
      </c>
      <c r="C10" s="62" t="s">
        <v>1072</v>
      </c>
      <c r="D10" s="61" t="s">
        <v>1150</v>
      </c>
      <c r="E10" s="62" t="s">
        <v>58</v>
      </c>
      <c r="F10" s="63" t="s">
        <v>1082</v>
      </c>
      <c r="G10" s="64" t="s">
        <v>1085</v>
      </c>
      <c r="H10" s="72" t="s">
        <v>69</v>
      </c>
      <c r="I10" s="73" t="s">
        <v>51</v>
      </c>
      <c r="J10" s="75" t="s">
        <v>70</v>
      </c>
      <c r="K10" s="75" t="s">
        <v>44</v>
      </c>
      <c r="L10" s="75" t="s">
        <v>71</v>
      </c>
      <c r="M10" s="75" t="s">
        <v>1515</v>
      </c>
      <c r="N10" s="75"/>
      <c r="O10" s="75"/>
      <c r="P10" s="82">
        <v>10</v>
      </c>
      <c r="Q10" s="82">
        <v>2</v>
      </c>
      <c r="R10" s="82">
        <v>3</v>
      </c>
      <c r="S10" s="83">
        <v>5</v>
      </c>
      <c r="T10" s="193"/>
      <c r="U10" s="193"/>
      <c r="V10" s="193"/>
      <c r="W10" s="193"/>
      <c r="X10" s="193"/>
      <c r="Y10" s="193"/>
      <c r="Z10" s="193"/>
      <c r="AA10" s="193"/>
      <c r="AB10" s="193"/>
      <c r="AC10" s="193"/>
      <c r="AD10" s="193"/>
      <c r="AE10" s="17" t="s">
        <v>72</v>
      </c>
      <c r="AF10" s="17" t="s">
        <v>70</v>
      </c>
    </row>
    <row r="11" spans="1:32" ht="52.8" x14ac:dyDescent="0.35">
      <c r="A11" s="60">
        <v>1</v>
      </c>
      <c r="B11" s="61" t="s">
        <v>1149</v>
      </c>
      <c r="C11" s="62" t="s">
        <v>1072</v>
      </c>
      <c r="D11" s="61" t="s">
        <v>1150</v>
      </c>
      <c r="E11" s="62" t="s">
        <v>58</v>
      </c>
      <c r="F11" s="63" t="s">
        <v>1082</v>
      </c>
      <c r="G11" s="64" t="s">
        <v>1086</v>
      </c>
      <c r="H11" s="84" t="s">
        <v>73</v>
      </c>
      <c r="I11" s="79" t="s">
        <v>42</v>
      </c>
      <c r="J11" s="80" t="s">
        <v>43</v>
      </c>
      <c r="K11" s="79" t="s">
        <v>44</v>
      </c>
      <c r="L11" s="75" t="s">
        <v>74</v>
      </c>
      <c r="M11" s="75" t="s">
        <v>1515</v>
      </c>
      <c r="N11" s="75"/>
      <c r="O11" s="75"/>
      <c r="P11" s="76">
        <v>1</v>
      </c>
      <c r="Q11" s="76">
        <v>1</v>
      </c>
      <c r="R11" s="76"/>
      <c r="S11" s="77"/>
      <c r="T11" s="192"/>
      <c r="U11" s="192"/>
      <c r="V11" s="192"/>
      <c r="W11" s="192"/>
      <c r="X11" s="192"/>
      <c r="Y11" s="192"/>
      <c r="Z11" s="192"/>
      <c r="AA11" s="192"/>
      <c r="AB11" s="192"/>
      <c r="AC11" s="192"/>
      <c r="AD11" s="192"/>
      <c r="AE11" s="20" t="s">
        <v>75</v>
      </c>
      <c r="AF11" s="17" t="s">
        <v>70</v>
      </c>
    </row>
    <row r="12" spans="1:32" ht="52.8" x14ac:dyDescent="0.35">
      <c r="A12" s="60">
        <v>1</v>
      </c>
      <c r="B12" s="61" t="s">
        <v>1149</v>
      </c>
      <c r="C12" s="62" t="s">
        <v>1072</v>
      </c>
      <c r="D12" s="61" t="s">
        <v>1150</v>
      </c>
      <c r="E12" s="62" t="s">
        <v>58</v>
      </c>
      <c r="F12" s="63" t="s">
        <v>1082</v>
      </c>
      <c r="G12" s="64" t="s">
        <v>1086</v>
      </c>
      <c r="H12" s="84" t="s">
        <v>73</v>
      </c>
      <c r="I12" s="79" t="s">
        <v>42</v>
      </c>
      <c r="J12" s="80" t="s">
        <v>43</v>
      </c>
      <c r="K12" s="79" t="s">
        <v>44</v>
      </c>
      <c r="L12" s="75" t="s">
        <v>76</v>
      </c>
      <c r="M12" s="75" t="s">
        <v>1515</v>
      </c>
      <c r="N12" s="75"/>
      <c r="O12" s="75"/>
      <c r="P12" s="76">
        <v>54</v>
      </c>
      <c r="Q12" s="76">
        <v>6</v>
      </c>
      <c r="R12" s="76">
        <v>18</v>
      </c>
      <c r="S12" s="77">
        <v>30</v>
      </c>
      <c r="T12" s="192"/>
      <c r="U12" s="192"/>
      <c r="V12" s="192"/>
      <c r="W12" s="192"/>
      <c r="X12" s="192"/>
      <c r="Y12" s="192"/>
      <c r="Z12" s="192"/>
      <c r="AA12" s="192"/>
      <c r="AB12" s="192"/>
      <c r="AC12" s="192"/>
      <c r="AD12" s="192"/>
      <c r="AE12" s="17" t="s">
        <v>77</v>
      </c>
      <c r="AF12" s="17" t="s">
        <v>70</v>
      </c>
    </row>
    <row r="13" spans="1:32" ht="52.8" x14ac:dyDescent="0.35">
      <c r="A13" s="60">
        <v>1</v>
      </c>
      <c r="B13" s="61" t="s">
        <v>1149</v>
      </c>
      <c r="C13" s="62" t="s">
        <v>1072</v>
      </c>
      <c r="D13" s="61" t="s">
        <v>1150</v>
      </c>
      <c r="E13" s="62" t="s">
        <v>58</v>
      </c>
      <c r="F13" s="63" t="s">
        <v>1082</v>
      </c>
      <c r="G13" s="64" t="s">
        <v>1087</v>
      </c>
      <c r="H13" s="84" t="s">
        <v>78</v>
      </c>
      <c r="I13" s="79" t="s">
        <v>51</v>
      </c>
      <c r="J13" s="79" t="s">
        <v>70</v>
      </c>
      <c r="K13" s="79" t="s">
        <v>79</v>
      </c>
      <c r="L13" s="75" t="s">
        <v>80</v>
      </c>
      <c r="M13" s="75" t="s">
        <v>1515</v>
      </c>
      <c r="N13" s="75"/>
      <c r="O13" s="75"/>
      <c r="P13" s="76">
        <v>1</v>
      </c>
      <c r="Q13" s="76">
        <v>1</v>
      </c>
      <c r="R13" s="76"/>
      <c r="S13" s="77"/>
      <c r="T13" s="192"/>
      <c r="U13" s="192"/>
      <c r="V13" s="192"/>
      <c r="W13" s="192"/>
      <c r="X13" s="192"/>
      <c r="Y13" s="192"/>
      <c r="Z13" s="192"/>
      <c r="AA13" s="192"/>
      <c r="AB13" s="192"/>
      <c r="AC13" s="192"/>
      <c r="AD13" s="192"/>
      <c r="AE13" s="20" t="s">
        <v>81</v>
      </c>
      <c r="AF13" s="17" t="s">
        <v>70</v>
      </c>
    </row>
    <row r="14" spans="1:32" ht="52.8" x14ac:dyDescent="0.35">
      <c r="A14" s="60">
        <v>1</v>
      </c>
      <c r="B14" s="61" t="s">
        <v>1149</v>
      </c>
      <c r="C14" s="62" t="s">
        <v>1072</v>
      </c>
      <c r="D14" s="61" t="s">
        <v>1150</v>
      </c>
      <c r="E14" s="62" t="s">
        <v>58</v>
      </c>
      <c r="F14" s="63" t="s">
        <v>1082</v>
      </c>
      <c r="G14" s="64" t="s">
        <v>1087</v>
      </c>
      <c r="H14" s="84" t="s">
        <v>78</v>
      </c>
      <c r="I14" s="79" t="s">
        <v>51</v>
      </c>
      <c r="J14" s="79" t="s">
        <v>70</v>
      </c>
      <c r="K14" s="79" t="s">
        <v>79</v>
      </c>
      <c r="L14" s="75" t="s">
        <v>82</v>
      </c>
      <c r="M14" s="75" t="s">
        <v>1515</v>
      </c>
      <c r="N14" s="75"/>
      <c r="O14" s="75"/>
      <c r="P14" s="76">
        <v>36</v>
      </c>
      <c r="Q14" s="76">
        <v>4</v>
      </c>
      <c r="R14" s="76">
        <v>12</v>
      </c>
      <c r="S14" s="77">
        <v>20</v>
      </c>
      <c r="T14" s="192"/>
      <c r="U14" s="192"/>
      <c r="V14" s="192"/>
      <c r="W14" s="192"/>
      <c r="X14" s="192"/>
      <c r="Y14" s="192"/>
      <c r="Z14" s="192"/>
      <c r="AA14" s="192"/>
      <c r="AB14" s="192"/>
      <c r="AC14" s="192"/>
      <c r="AD14" s="192"/>
      <c r="AE14" s="17" t="s">
        <v>83</v>
      </c>
      <c r="AF14" s="17" t="s">
        <v>70</v>
      </c>
    </row>
    <row r="15" spans="1:32" ht="28.5" customHeight="1" x14ac:dyDescent="0.35">
      <c r="A15" s="60">
        <v>1</v>
      </c>
      <c r="B15" s="61" t="s">
        <v>1149</v>
      </c>
      <c r="C15" s="62" t="s">
        <v>1072</v>
      </c>
      <c r="D15" s="61" t="s">
        <v>1150</v>
      </c>
      <c r="E15" s="62" t="s">
        <v>84</v>
      </c>
      <c r="F15" s="63" t="s">
        <v>1088</v>
      </c>
      <c r="G15" s="64" t="s">
        <v>1089</v>
      </c>
      <c r="H15" s="72" t="s">
        <v>85</v>
      </c>
      <c r="I15" s="73" t="s">
        <v>86</v>
      </c>
      <c r="J15" s="75" t="s">
        <v>87</v>
      </c>
      <c r="K15" s="75" t="s">
        <v>88</v>
      </c>
      <c r="L15" s="81" t="s">
        <v>89</v>
      </c>
      <c r="M15" s="69" t="s">
        <v>1516</v>
      </c>
      <c r="N15" s="81"/>
      <c r="O15" s="81"/>
      <c r="P15" s="76">
        <v>1</v>
      </c>
      <c r="Q15" s="76">
        <v>1</v>
      </c>
      <c r="R15" s="76"/>
      <c r="S15" s="77"/>
      <c r="T15" s="192"/>
      <c r="U15" s="192"/>
      <c r="V15" s="192"/>
      <c r="W15" s="192"/>
      <c r="X15" s="192"/>
      <c r="Y15" s="192"/>
      <c r="Z15" s="192"/>
      <c r="AA15" s="192"/>
      <c r="AB15" s="192"/>
      <c r="AC15" s="192"/>
      <c r="AD15" s="192"/>
      <c r="AE15" s="22" t="s">
        <v>90</v>
      </c>
      <c r="AF15" s="22" t="s">
        <v>86</v>
      </c>
    </row>
    <row r="16" spans="1:32" ht="52.8" x14ac:dyDescent="0.35">
      <c r="A16" s="60">
        <v>1</v>
      </c>
      <c r="B16" s="61" t="s">
        <v>1149</v>
      </c>
      <c r="C16" s="62" t="s">
        <v>1072</v>
      </c>
      <c r="D16" s="61" t="s">
        <v>1150</v>
      </c>
      <c r="E16" s="62" t="s">
        <v>84</v>
      </c>
      <c r="F16" s="63" t="s">
        <v>1088</v>
      </c>
      <c r="G16" s="64" t="s">
        <v>1090</v>
      </c>
      <c r="H16" s="72" t="s">
        <v>91</v>
      </c>
      <c r="I16" s="73" t="s">
        <v>42</v>
      </c>
      <c r="J16" s="74" t="s">
        <v>43</v>
      </c>
      <c r="K16" s="75" t="s">
        <v>51</v>
      </c>
      <c r="L16" s="75" t="s">
        <v>92</v>
      </c>
      <c r="M16" s="69" t="s">
        <v>1516</v>
      </c>
      <c r="N16" s="75"/>
      <c r="O16" s="75"/>
      <c r="P16" s="76">
        <v>1</v>
      </c>
      <c r="Q16" s="76">
        <v>1</v>
      </c>
      <c r="R16" s="76"/>
      <c r="S16" s="77"/>
      <c r="T16" s="192"/>
      <c r="U16" s="192"/>
      <c r="V16" s="192"/>
      <c r="W16" s="192"/>
      <c r="X16" s="192"/>
      <c r="Y16" s="192"/>
      <c r="Z16" s="192"/>
      <c r="AA16" s="192"/>
      <c r="AB16" s="192"/>
      <c r="AC16" s="192"/>
      <c r="AD16" s="192"/>
      <c r="AE16" s="17" t="str">
        <f t="shared" ref="AE16" si="0">_xlfn.TEXTBEFORE(TRIM(H16), " ", 4)</f>
        <v>Publicação de regimento interno</v>
      </c>
      <c r="AF16" s="17" t="s">
        <v>51</v>
      </c>
    </row>
    <row r="17" spans="1:32" ht="52.8" x14ac:dyDescent="0.35">
      <c r="A17" s="60">
        <v>1</v>
      </c>
      <c r="B17" s="61" t="s">
        <v>1149</v>
      </c>
      <c r="C17" s="62" t="s">
        <v>1072</v>
      </c>
      <c r="D17" s="61" t="s">
        <v>1150</v>
      </c>
      <c r="E17" s="62" t="s">
        <v>84</v>
      </c>
      <c r="F17" s="63" t="s">
        <v>1088</v>
      </c>
      <c r="G17" s="64" t="s">
        <v>1091</v>
      </c>
      <c r="H17" s="72" t="s">
        <v>93</v>
      </c>
      <c r="I17" s="73" t="s">
        <v>42</v>
      </c>
      <c r="J17" s="74" t="s">
        <v>43</v>
      </c>
      <c r="K17" s="75" t="s">
        <v>51</v>
      </c>
      <c r="L17" s="75" t="s">
        <v>94</v>
      </c>
      <c r="M17" s="69" t="s">
        <v>1516</v>
      </c>
      <c r="N17" s="75"/>
      <c r="O17" s="75"/>
      <c r="P17" s="76">
        <v>60</v>
      </c>
      <c r="Q17" s="76">
        <v>12</v>
      </c>
      <c r="R17" s="76">
        <v>18</v>
      </c>
      <c r="S17" s="77">
        <v>30</v>
      </c>
      <c r="T17" s="192"/>
      <c r="U17" s="192"/>
      <c r="V17" s="192"/>
      <c r="W17" s="192"/>
      <c r="X17" s="192"/>
      <c r="Y17" s="192"/>
      <c r="Z17" s="192"/>
      <c r="AA17" s="192"/>
      <c r="AB17" s="192"/>
      <c r="AC17" s="192"/>
      <c r="AD17" s="192"/>
      <c r="AE17" s="20" t="s">
        <v>95</v>
      </c>
      <c r="AF17" s="20" t="s">
        <v>51</v>
      </c>
    </row>
    <row r="18" spans="1:32" ht="52.8" x14ac:dyDescent="0.35">
      <c r="A18" s="60">
        <v>1</v>
      </c>
      <c r="B18" s="61" t="s">
        <v>1149</v>
      </c>
      <c r="C18" s="62" t="s">
        <v>1072</v>
      </c>
      <c r="D18" s="61" t="s">
        <v>1150</v>
      </c>
      <c r="E18" s="62" t="s">
        <v>96</v>
      </c>
      <c r="F18" s="85" t="s">
        <v>1096</v>
      </c>
      <c r="G18" s="86" t="s">
        <v>1092</v>
      </c>
      <c r="H18" s="72" t="s">
        <v>97</v>
      </c>
      <c r="I18" s="73" t="s">
        <v>60</v>
      </c>
      <c r="J18" s="75" t="s">
        <v>98</v>
      </c>
      <c r="K18" s="75" t="s">
        <v>44</v>
      </c>
      <c r="L18" s="75" t="s">
        <v>99</v>
      </c>
      <c r="M18" s="75" t="s">
        <v>1515</v>
      </c>
      <c r="N18" s="75"/>
      <c r="O18" s="75"/>
      <c r="P18" s="76">
        <v>1</v>
      </c>
      <c r="Q18" s="76"/>
      <c r="R18" s="76">
        <v>1</v>
      </c>
      <c r="S18" s="77"/>
      <c r="T18" s="192"/>
      <c r="U18" s="192"/>
      <c r="V18" s="192"/>
      <c r="W18" s="192"/>
      <c r="X18" s="192"/>
      <c r="Y18" s="192"/>
      <c r="Z18" s="192"/>
      <c r="AA18" s="192"/>
      <c r="AB18" s="192"/>
      <c r="AC18" s="192"/>
      <c r="AD18" s="192"/>
      <c r="AE18" s="17" t="s">
        <v>100</v>
      </c>
      <c r="AF18" s="17" t="s">
        <v>65</v>
      </c>
    </row>
    <row r="19" spans="1:32" ht="52.8" x14ac:dyDescent="0.35">
      <c r="A19" s="60">
        <v>1</v>
      </c>
      <c r="B19" s="61" t="s">
        <v>1149</v>
      </c>
      <c r="C19" s="62" t="s">
        <v>1072</v>
      </c>
      <c r="D19" s="61" t="s">
        <v>1150</v>
      </c>
      <c r="E19" s="62" t="s">
        <v>96</v>
      </c>
      <c r="F19" s="85" t="s">
        <v>1096</v>
      </c>
      <c r="G19" s="86" t="s">
        <v>1093</v>
      </c>
      <c r="H19" s="72" t="s">
        <v>101</v>
      </c>
      <c r="I19" s="73" t="s">
        <v>51</v>
      </c>
      <c r="J19" s="75" t="s">
        <v>70</v>
      </c>
      <c r="K19" s="75" t="s">
        <v>102</v>
      </c>
      <c r="L19" s="75" t="s">
        <v>103</v>
      </c>
      <c r="M19" s="75" t="s">
        <v>1515</v>
      </c>
      <c r="N19" s="75"/>
      <c r="O19" s="75"/>
      <c r="P19" s="76">
        <v>3</v>
      </c>
      <c r="Q19" s="76">
        <v>1</v>
      </c>
      <c r="R19" s="76">
        <v>1</v>
      </c>
      <c r="S19" s="77">
        <v>1</v>
      </c>
      <c r="T19" s="192"/>
      <c r="U19" s="192"/>
      <c r="V19" s="192"/>
      <c r="W19" s="192"/>
      <c r="X19" s="192"/>
      <c r="Y19" s="192"/>
      <c r="Z19" s="192"/>
      <c r="AA19" s="192"/>
      <c r="AB19" s="192"/>
      <c r="AC19" s="192"/>
      <c r="AD19" s="192"/>
      <c r="AE19" s="20" t="s">
        <v>104</v>
      </c>
      <c r="AF19" s="17" t="s">
        <v>70</v>
      </c>
    </row>
    <row r="20" spans="1:32" ht="52.8" x14ac:dyDescent="0.35">
      <c r="A20" s="60">
        <v>1</v>
      </c>
      <c r="B20" s="61" t="s">
        <v>1149</v>
      </c>
      <c r="C20" s="62" t="s">
        <v>1072</v>
      </c>
      <c r="D20" s="61" t="s">
        <v>1150</v>
      </c>
      <c r="E20" s="62" t="s">
        <v>96</v>
      </c>
      <c r="F20" s="85" t="s">
        <v>1096</v>
      </c>
      <c r="G20" s="86" t="s">
        <v>1094</v>
      </c>
      <c r="H20" s="72" t="s">
        <v>105</v>
      </c>
      <c r="I20" s="73" t="s">
        <v>51</v>
      </c>
      <c r="J20" s="75" t="s">
        <v>70</v>
      </c>
      <c r="K20" s="75" t="s">
        <v>106</v>
      </c>
      <c r="L20" s="75" t="s">
        <v>107</v>
      </c>
      <c r="M20" s="75" t="s">
        <v>1515</v>
      </c>
      <c r="N20" s="75"/>
      <c r="O20" s="75"/>
      <c r="P20" s="76">
        <v>10</v>
      </c>
      <c r="Q20" s="76">
        <v>2</v>
      </c>
      <c r="R20" s="76">
        <v>3</v>
      </c>
      <c r="S20" s="77">
        <v>5</v>
      </c>
      <c r="T20" s="192"/>
      <c r="U20" s="192"/>
      <c r="V20" s="192"/>
      <c r="W20" s="192"/>
      <c r="X20" s="192"/>
      <c r="Y20" s="192"/>
      <c r="Z20" s="192"/>
      <c r="AA20" s="192"/>
      <c r="AB20" s="192"/>
      <c r="AC20" s="192"/>
      <c r="AD20" s="192"/>
      <c r="AE20" s="17" t="s">
        <v>108</v>
      </c>
      <c r="AF20" s="17" t="s">
        <v>70</v>
      </c>
    </row>
    <row r="21" spans="1:32" ht="52.8" x14ac:dyDescent="0.35">
      <c r="A21" s="60">
        <v>1</v>
      </c>
      <c r="B21" s="61" t="s">
        <v>1149</v>
      </c>
      <c r="C21" s="62" t="s">
        <v>1072</v>
      </c>
      <c r="D21" s="61" t="s">
        <v>1150</v>
      </c>
      <c r="E21" s="62" t="s">
        <v>96</v>
      </c>
      <c r="F21" s="85" t="s">
        <v>1096</v>
      </c>
      <c r="G21" s="86" t="s">
        <v>1095</v>
      </c>
      <c r="H21" s="72" t="s">
        <v>109</v>
      </c>
      <c r="I21" s="73" t="s">
        <v>42</v>
      </c>
      <c r="J21" s="74" t="s">
        <v>43</v>
      </c>
      <c r="K21" s="75" t="s">
        <v>44</v>
      </c>
      <c r="L21" s="75" t="s">
        <v>110</v>
      </c>
      <c r="M21" s="75" t="s">
        <v>1515</v>
      </c>
      <c r="N21" s="75"/>
      <c r="O21" s="75"/>
      <c r="P21" s="76">
        <v>10</v>
      </c>
      <c r="Q21" s="76">
        <v>2</v>
      </c>
      <c r="R21" s="76">
        <v>3</v>
      </c>
      <c r="S21" s="77">
        <v>5</v>
      </c>
      <c r="T21" s="192"/>
      <c r="U21" s="192"/>
      <c r="V21" s="192"/>
      <c r="W21" s="192"/>
      <c r="X21" s="192"/>
      <c r="Y21" s="192"/>
      <c r="Z21" s="192"/>
      <c r="AA21" s="192"/>
      <c r="AB21" s="192"/>
      <c r="AC21" s="192"/>
      <c r="AD21" s="192"/>
      <c r="AE21" s="20" t="s">
        <v>111</v>
      </c>
      <c r="AF21" s="20" t="s">
        <v>112</v>
      </c>
    </row>
    <row r="22" spans="1:32" ht="66" x14ac:dyDescent="0.35">
      <c r="A22" s="60">
        <v>1</v>
      </c>
      <c r="B22" s="61" t="s">
        <v>1149</v>
      </c>
      <c r="C22" s="62" t="s">
        <v>1072</v>
      </c>
      <c r="D22" s="61" t="s">
        <v>1150</v>
      </c>
      <c r="E22" s="87" t="s">
        <v>113</v>
      </c>
      <c r="F22" s="85" t="s">
        <v>1097</v>
      </c>
      <c r="G22" s="86" t="s">
        <v>1098</v>
      </c>
      <c r="H22" s="78" t="s">
        <v>114</v>
      </c>
      <c r="I22" s="79" t="s">
        <v>51</v>
      </c>
      <c r="J22" s="79" t="s">
        <v>115</v>
      </c>
      <c r="K22" s="79" t="s">
        <v>116</v>
      </c>
      <c r="L22" s="75" t="s">
        <v>117</v>
      </c>
      <c r="M22" s="69" t="s">
        <v>1516</v>
      </c>
      <c r="N22" s="75"/>
      <c r="O22" s="75"/>
      <c r="P22" s="88">
        <v>0.5</v>
      </c>
      <c r="Q22" s="76"/>
      <c r="R22" s="88">
        <v>0.5</v>
      </c>
      <c r="S22" s="77"/>
      <c r="T22" s="192"/>
      <c r="U22" s="192"/>
      <c r="V22" s="192"/>
      <c r="W22" s="192"/>
      <c r="X22" s="192"/>
      <c r="Y22" s="192"/>
      <c r="Z22" s="192"/>
      <c r="AA22" s="192"/>
      <c r="AB22" s="192"/>
      <c r="AC22" s="192"/>
      <c r="AD22" s="192"/>
      <c r="AE22" s="20" t="s">
        <v>118</v>
      </c>
      <c r="AF22" s="17" t="s">
        <v>119</v>
      </c>
    </row>
    <row r="23" spans="1:32" ht="66" x14ac:dyDescent="0.35">
      <c r="A23" s="60">
        <v>1</v>
      </c>
      <c r="B23" s="61" t="s">
        <v>1149</v>
      </c>
      <c r="C23" s="62" t="s">
        <v>1072</v>
      </c>
      <c r="D23" s="61" t="s">
        <v>1150</v>
      </c>
      <c r="E23" s="87" t="s">
        <v>113</v>
      </c>
      <c r="F23" s="85" t="s">
        <v>1097</v>
      </c>
      <c r="G23" s="86" t="s">
        <v>1099</v>
      </c>
      <c r="H23" s="78" t="s">
        <v>120</v>
      </c>
      <c r="I23" s="79" t="s">
        <v>51</v>
      </c>
      <c r="J23" s="89" t="s">
        <v>70</v>
      </c>
      <c r="K23" s="85"/>
      <c r="L23" s="72" t="s">
        <v>121</v>
      </c>
      <c r="M23" s="69" t="s">
        <v>1516</v>
      </c>
      <c r="N23" s="72"/>
      <c r="O23" s="72"/>
      <c r="P23" s="76">
        <v>1</v>
      </c>
      <c r="Q23" s="76">
        <v>1</v>
      </c>
      <c r="R23" s="76"/>
      <c r="S23" s="77"/>
      <c r="T23" s="192"/>
      <c r="U23" s="192"/>
      <c r="V23" s="192"/>
      <c r="W23" s="192"/>
      <c r="X23" s="192"/>
      <c r="Y23" s="192"/>
      <c r="Z23" s="192"/>
      <c r="AA23" s="192"/>
      <c r="AB23" s="192"/>
      <c r="AC23" s="192"/>
      <c r="AD23" s="192"/>
      <c r="AE23" s="17" t="s">
        <v>122</v>
      </c>
      <c r="AF23" s="17" t="s">
        <v>70</v>
      </c>
    </row>
    <row r="24" spans="1:32" ht="66" x14ac:dyDescent="0.35">
      <c r="A24" s="60">
        <v>1</v>
      </c>
      <c r="B24" s="61" t="s">
        <v>1149</v>
      </c>
      <c r="C24" s="62" t="s">
        <v>1072</v>
      </c>
      <c r="D24" s="61" t="s">
        <v>1150</v>
      </c>
      <c r="E24" s="87" t="s">
        <v>113</v>
      </c>
      <c r="F24" s="85" t="s">
        <v>1097</v>
      </c>
      <c r="G24" s="86" t="s">
        <v>1099</v>
      </c>
      <c r="H24" s="78" t="s">
        <v>120</v>
      </c>
      <c r="I24" s="79" t="s">
        <v>51</v>
      </c>
      <c r="J24" s="89" t="s">
        <v>70</v>
      </c>
      <c r="K24" s="90"/>
      <c r="L24" s="72" t="s">
        <v>123</v>
      </c>
      <c r="M24" s="69" t="s">
        <v>1516</v>
      </c>
      <c r="N24" s="72"/>
      <c r="O24" s="72"/>
      <c r="P24" s="76">
        <v>10</v>
      </c>
      <c r="Q24" s="76"/>
      <c r="R24" s="76">
        <v>10</v>
      </c>
      <c r="S24" s="77"/>
      <c r="T24" s="192"/>
      <c r="U24" s="192"/>
      <c r="V24" s="192"/>
      <c r="W24" s="192"/>
      <c r="X24" s="192"/>
      <c r="Y24" s="192"/>
      <c r="Z24" s="192"/>
      <c r="AA24" s="192"/>
      <c r="AB24" s="192"/>
      <c r="AC24" s="192"/>
      <c r="AD24" s="192"/>
      <c r="AE24" s="20" t="s">
        <v>124</v>
      </c>
      <c r="AF24" s="17" t="s">
        <v>70</v>
      </c>
    </row>
    <row r="25" spans="1:32" ht="66" x14ac:dyDescent="0.35">
      <c r="A25" s="60">
        <v>1</v>
      </c>
      <c r="B25" s="61" t="s">
        <v>1149</v>
      </c>
      <c r="C25" s="62" t="s">
        <v>1072</v>
      </c>
      <c r="D25" s="61" t="s">
        <v>1150</v>
      </c>
      <c r="E25" s="87" t="s">
        <v>113</v>
      </c>
      <c r="F25" s="85" t="s">
        <v>1097</v>
      </c>
      <c r="G25" s="86" t="s">
        <v>1100</v>
      </c>
      <c r="H25" s="72" t="s">
        <v>125</v>
      </c>
      <c r="I25" s="73" t="s">
        <v>51</v>
      </c>
      <c r="J25" s="75" t="s">
        <v>70</v>
      </c>
      <c r="K25" s="68" t="s">
        <v>44</v>
      </c>
      <c r="L25" s="75" t="s">
        <v>126</v>
      </c>
      <c r="M25" s="69" t="s">
        <v>1516</v>
      </c>
      <c r="N25" s="75"/>
      <c r="O25" s="75"/>
      <c r="P25" s="76">
        <v>32</v>
      </c>
      <c r="Q25" s="76"/>
      <c r="R25" s="76">
        <v>12</v>
      </c>
      <c r="S25" s="77">
        <v>20</v>
      </c>
      <c r="T25" s="192"/>
      <c r="U25" s="192"/>
      <c r="V25" s="192"/>
      <c r="W25" s="192"/>
      <c r="X25" s="192"/>
      <c r="Y25" s="192"/>
      <c r="Z25" s="192"/>
      <c r="AA25" s="192"/>
      <c r="AB25" s="192"/>
      <c r="AC25" s="192"/>
      <c r="AD25" s="192"/>
      <c r="AE25" s="17" t="s">
        <v>127</v>
      </c>
      <c r="AF25" s="17" t="s">
        <v>70</v>
      </c>
    </row>
    <row r="26" spans="1:32" ht="42.75" customHeight="1" x14ac:dyDescent="0.35">
      <c r="A26" s="60">
        <v>1</v>
      </c>
      <c r="B26" s="61" t="s">
        <v>1149</v>
      </c>
      <c r="C26" s="62" t="s">
        <v>1072</v>
      </c>
      <c r="D26" s="61" t="s">
        <v>1150</v>
      </c>
      <c r="E26" s="62" t="s">
        <v>128</v>
      </c>
      <c r="F26" s="85" t="s">
        <v>1101</v>
      </c>
      <c r="G26" s="86" t="s">
        <v>1102</v>
      </c>
      <c r="H26" s="78" t="s">
        <v>129</v>
      </c>
      <c r="I26" s="79" t="s">
        <v>42</v>
      </c>
      <c r="J26" s="80" t="s">
        <v>43</v>
      </c>
      <c r="K26" s="79" t="s">
        <v>130</v>
      </c>
      <c r="L26" s="75" t="s">
        <v>131</v>
      </c>
      <c r="M26" s="69" t="s">
        <v>1516</v>
      </c>
      <c r="N26" s="75"/>
      <c r="O26" s="75"/>
      <c r="P26" s="76">
        <v>10</v>
      </c>
      <c r="Q26" s="76">
        <v>2</v>
      </c>
      <c r="R26" s="76">
        <v>3</v>
      </c>
      <c r="S26" s="77">
        <v>5</v>
      </c>
      <c r="T26" s="192"/>
      <c r="U26" s="192"/>
      <c r="V26" s="192"/>
      <c r="W26" s="192"/>
      <c r="X26" s="192"/>
      <c r="Y26" s="192"/>
      <c r="Z26" s="192"/>
      <c r="AA26" s="192"/>
      <c r="AB26" s="192"/>
      <c r="AC26" s="192"/>
      <c r="AD26" s="192"/>
      <c r="AE26" s="20" t="s">
        <v>132</v>
      </c>
      <c r="AF26" s="20" t="s">
        <v>112</v>
      </c>
    </row>
    <row r="27" spans="1:32" ht="52.8" x14ac:dyDescent="0.35">
      <c r="A27" s="60">
        <v>1</v>
      </c>
      <c r="B27" s="61" t="s">
        <v>1149</v>
      </c>
      <c r="C27" s="62" t="s">
        <v>1072</v>
      </c>
      <c r="D27" s="61" t="s">
        <v>1150</v>
      </c>
      <c r="E27" s="62" t="s">
        <v>128</v>
      </c>
      <c r="F27" s="85" t="s">
        <v>1101</v>
      </c>
      <c r="G27" s="86" t="s">
        <v>1103</v>
      </c>
      <c r="H27" s="78" t="s">
        <v>129</v>
      </c>
      <c r="I27" s="79" t="s">
        <v>42</v>
      </c>
      <c r="J27" s="80" t="s">
        <v>43</v>
      </c>
      <c r="K27" s="79" t="s">
        <v>130</v>
      </c>
      <c r="L27" s="75" t="s">
        <v>133</v>
      </c>
      <c r="M27" s="69" t="s">
        <v>1516</v>
      </c>
      <c r="N27" s="75"/>
      <c r="O27" s="75"/>
      <c r="P27" s="76">
        <v>300</v>
      </c>
      <c r="Q27" s="76">
        <v>60</v>
      </c>
      <c r="R27" s="76">
        <v>90</v>
      </c>
      <c r="S27" s="77">
        <v>150</v>
      </c>
      <c r="T27" s="192"/>
      <c r="U27" s="192"/>
      <c r="V27" s="192"/>
      <c r="W27" s="192"/>
      <c r="X27" s="192"/>
      <c r="Y27" s="192"/>
      <c r="Z27" s="192"/>
      <c r="AA27" s="192"/>
      <c r="AB27" s="192"/>
      <c r="AC27" s="192"/>
      <c r="AD27" s="192"/>
      <c r="AE27" s="17" t="s">
        <v>134</v>
      </c>
      <c r="AF27" s="17" t="s">
        <v>112</v>
      </c>
    </row>
    <row r="28" spans="1:32" ht="66" x14ac:dyDescent="0.35">
      <c r="A28" s="91">
        <v>1</v>
      </c>
      <c r="B28" s="61" t="s">
        <v>1149</v>
      </c>
      <c r="C28" s="92" t="s">
        <v>1073</v>
      </c>
      <c r="D28" s="93" t="s">
        <v>1151</v>
      </c>
      <c r="E28" s="62" t="s">
        <v>135</v>
      </c>
      <c r="F28" s="85" t="s">
        <v>1104</v>
      </c>
      <c r="G28" s="86" t="s">
        <v>1105</v>
      </c>
      <c r="H28" s="72" t="s">
        <v>1108</v>
      </c>
      <c r="I28" s="94" t="s">
        <v>51</v>
      </c>
      <c r="J28" s="75" t="s">
        <v>70</v>
      </c>
      <c r="K28" s="75" t="s">
        <v>44</v>
      </c>
      <c r="L28" s="75" t="s">
        <v>1109</v>
      </c>
      <c r="M28" s="69" t="s">
        <v>1516</v>
      </c>
      <c r="N28" s="75"/>
      <c r="O28" s="75"/>
      <c r="P28" s="88">
        <v>1</v>
      </c>
      <c r="Q28" s="88">
        <v>1</v>
      </c>
      <c r="R28" s="88">
        <v>1</v>
      </c>
      <c r="S28" s="88">
        <v>1</v>
      </c>
      <c r="T28" s="88"/>
      <c r="U28" s="88"/>
      <c r="V28" s="88"/>
      <c r="W28" s="88"/>
      <c r="X28" s="88"/>
      <c r="Y28" s="88"/>
      <c r="Z28" s="88"/>
      <c r="AA28" s="88"/>
      <c r="AB28" s="88"/>
      <c r="AC28" s="88"/>
      <c r="AD28" s="88"/>
      <c r="AE28" s="57" t="s">
        <v>136</v>
      </c>
      <c r="AF28" s="57" t="s">
        <v>65</v>
      </c>
    </row>
    <row r="29" spans="1:32" ht="66" x14ac:dyDescent="0.35">
      <c r="A29" s="91">
        <v>1</v>
      </c>
      <c r="B29" s="61" t="s">
        <v>1149</v>
      </c>
      <c r="C29" s="92" t="s">
        <v>1073</v>
      </c>
      <c r="D29" s="93" t="s">
        <v>1151</v>
      </c>
      <c r="E29" s="62" t="s">
        <v>135</v>
      </c>
      <c r="F29" s="85" t="s">
        <v>1104</v>
      </c>
      <c r="G29" s="86" t="s">
        <v>1106</v>
      </c>
      <c r="H29" s="72" t="s">
        <v>1110</v>
      </c>
      <c r="I29" s="94" t="s">
        <v>51</v>
      </c>
      <c r="J29" s="75" t="s">
        <v>70</v>
      </c>
      <c r="K29" s="75" t="s">
        <v>44</v>
      </c>
      <c r="L29" s="75" t="s">
        <v>137</v>
      </c>
      <c r="M29" s="69" t="s">
        <v>1516</v>
      </c>
      <c r="N29" s="75"/>
      <c r="O29" s="75"/>
      <c r="P29" s="76">
        <v>1</v>
      </c>
      <c r="Q29" s="76">
        <v>1</v>
      </c>
      <c r="R29" s="76"/>
      <c r="S29" s="77"/>
      <c r="T29" s="192"/>
      <c r="U29" s="192"/>
      <c r="V29" s="192"/>
      <c r="W29" s="192"/>
      <c r="X29" s="192"/>
      <c r="Y29" s="192"/>
      <c r="Z29" s="192"/>
      <c r="AA29" s="192"/>
      <c r="AB29" s="192"/>
      <c r="AC29" s="192"/>
      <c r="AD29" s="192"/>
      <c r="AE29" s="17" t="s">
        <v>137</v>
      </c>
      <c r="AF29" s="17" t="s">
        <v>65</v>
      </c>
    </row>
    <row r="30" spans="1:32" ht="66" x14ac:dyDescent="0.35">
      <c r="A30" s="91">
        <v>1</v>
      </c>
      <c r="B30" s="61" t="s">
        <v>1149</v>
      </c>
      <c r="C30" s="92" t="s">
        <v>1073</v>
      </c>
      <c r="D30" s="93" t="s">
        <v>1151</v>
      </c>
      <c r="E30" s="62" t="s">
        <v>135</v>
      </c>
      <c r="F30" s="85" t="s">
        <v>1104</v>
      </c>
      <c r="G30" s="86" t="s">
        <v>1107</v>
      </c>
      <c r="H30" s="78" t="s">
        <v>1111</v>
      </c>
      <c r="I30" s="79" t="s">
        <v>42</v>
      </c>
      <c r="J30" s="80" t="s">
        <v>43</v>
      </c>
      <c r="K30" s="79" t="s">
        <v>44</v>
      </c>
      <c r="L30" s="75" t="s">
        <v>138</v>
      </c>
      <c r="M30" s="69" t="s">
        <v>1516</v>
      </c>
      <c r="N30" s="75"/>
      <c r="O30" s="75"/>
      <c r="P30" s="76">
        <v>1</v>
      </c>
      <c r="Q30" s="76"/>
      <c r="R30" s="76">
        <v>1</v>
      </c>
      <c r="S30" s="77"/>
      <c r="T30" s="192"/>
      <c r="U30" s="192"/>
      <c r="V30" s="192"/>
      <c r="W30" s="192"/>
      <c r="X30" s="192"/>
      <c r="Y30" s="192"/>
      <c r="Z30" s="192"/>
      <c r="AA30" s="192"/>
      <c r="AB30" s="192"/>
      <c r="AC30" s="192"/>
      <c r="AD30" s="192"/>
      <c r="AE30" s="20" t="s">
        <v>139</v>
      </c>
      <c r="AF30" s="17" t="s">
        <v>112</v>
      </c>
    </row>
    <row r="31" spans="1:32" ht="66" x14ac:dyDescent="0.35">
      <c r="A31" s="91">
        <v>1</v>
      </c>
      <c r="B31" s="61" t="s">
        <v>1149</v>
      </c>
      <c r="C31" s="92" t="s">
        <v>1073</v>
      </c>
      <c r="D31" s="93" t="s">
        <v>1151</v>
      </c>
      <c r="E31" s="62" t="s">
        <v>135</v>
      </c>
      <c r="F31" s="85" t="s">
        <v>1104</v>
      </c>
      <c r="G31" s="86" t="s">
        <v>1107</v>
      </c>
      <c r="H31" s="78" t="s">
        <v>1111</v>
      </c>
      <c r="I31" s="79" t="s">
        <v>42</v>
      </c>
      <c r="J31" s="80" t="s">
        <v>43</v>
      </c>
      <c r="K31" s="79" t="s">
        <v>44</v>
      </c>
      <c r="L31" s="75" t="s">
        <v>53</v>
      </c>
      <c r="M31" s="69" t="s">
        <v>1516</v>
      </c>
      <c r="N31" s="75"/>
      <c r="O31" s="75"/>
      <c r="P31" s="76">
        <v>6</v>
      </c>
      <c r="Q31" s="76"/>
      <c r="R31" s="76">
        <v>1</v>
      </c>
      <c r="S31" s="77">
        <v>5</v>
      </c>
      <c r="T31" s="192"/>
      <c r="U31" s="192"/>
      <c r="V31" s="192"/>
      <c r="W31" s="192"/>
      <c r="X31" s="192"/>
      <c r="Y31" s="192"/>
      <c r="Z31" s="192"/>
      <c r="AA31" s="192"/>
      <c r="AB31" s="192"/>
      <c r="AC31" s="192"/>
      <c r="AD31" s="192"/>
      <c r="AE31" s="17" t="s">
        <v>140</v>
      </c>
      <c r="AF31" s="17" t="s">
        <v>112</v>
      </c>
    </row>
    <row r="32" spans="1:32" ht="60" x14ac:dyDescent="0.35">
      <c r="A32" s="60">
        <v>1</v>
      </c>
      <c r="B32" s="61" t="s">
        <v>1149</v>
      </c>
      <c r="C32" s="92" t="s">
        <v>1073</v>
      </c>
      <c r="D32" s="93" t="s">
        <v>1151</v>
      </c>
      <c r="E32" s="62" t="s">
        <v>141</v>
      </c>
      <c r="F32" s="85" t="s">
        <v>1112</v>
      </c>
      <c r="G32" s="86" t="s">
        <v>1113</v>
      </c>
      <c r="H32" s="72" t="s">
        <v>142</v>
      </c>
      <c r="I32" s="73" t="s">
        <v>51</v>
      </c>
      <c r="J32" s="75" t="s">
        <v>70</v>
      </c>
      <c r="K32" s="75"/>
      <c r="L32" s="75" t="s">
        <v>143</v>
      </c>
      <c r="M32" s="69" t="s">
        <v>1516</v>
      </c>
      <c r="N32" s="75"/>
      <c r="O32" s="75"/>
      <c r="P32" s="76">
        <v>1</v>
      </c>
      <c r="Q32" s="76">
        <v>1</v>
      </c>
      <c r="R32" s="76"/>
      <c r="S32" s="77"/>
      <c r="T32" s="192"/>
      <c r="U32" s="192"/>
      <c r="V32" s="192"/>
      <c r="W32" s="192"/>
      <c r="X32" s="192"/>
      <c r="Y32" s="192"/>
      <c r="Z32" s="192"/>
      <c r="AA32" s="192"/>
      <c r="AB32" s="192"/>
      <c r="AC32" s="192"/>
      <c r="AD32" s="192"/>
      <c r="AE32" s="20" t="s">
        <v>144</v>
      </c>
      <c r="AF32" s="17" t="s">
        <v>70</v>
      </c>
    </row>
    <row r="33" spans="1:32" ht="58.5" customHeight="1" x14ac:dyDescent="0.35">
      <c r="A33" s="60">
        <v>1</v>
      </c>
      <c r="B33" s="61" t="s">
        <v>1149</v>
      </c>
      <c r="C33" s="92" t="s">
        <v>1073</v>
      </c>
      <c r="D33" s="93" t="s">
        <v>1151</v>
      </c>
      <c r="E33" s="62" t="s">
        <v>141</v>
      </c>
      <c r="F33" s="85" t="s">
        <v>1112</v>
      </c>
      <c r="G33" s="86" t="s">
        <v>1114</v>
      </c>
      <c r="H33" s="72" t="s">
        <v>145</v>
      </c>
      <c r="I33" s="73" t="s">
        <v>51</v>
      </c>
      <c r="J33" s="75" t="s">
        <v>70</v>
      </c>
      <c r="K33" s="75" t="s">
        <v>146</v>
      </c>
      <c r="L33" s="75" t="s">
        <v>147</v>
      </c>
      <c r="M33" s="69" t="s">
        <v>1516</v>
      </c>
      <c r="N33" s="75"/>
      <c r="O33" s="75"/>
      <c r="P33" s="88">
        <v>0.8</v>
      </c>
      <c r="Q33" s="88">
        <v>0.8</v>
      </c>
      <c r="R33" s="76"/>
      <c r="S33" s="77"/>
      <c r="T33" s="192"/>
      <c r="U33" s="192"/>
      <c r="V33" s="192"/>
      <c r="W33" s="192"/>
      <c r="X33" s="192"/>
      <c r="Y33" s="192"/>
      <c r="Z33" s="192"/>
      <c r="AA33" s="192"/>
      <c r="AB33" s="192"/>
      <c r="AC33" s="192"/>
      <c r="AD33" s="192"/>
      <c r="AE33" s="17" t="s">
        <v>148</v>
      </c>
      <c r="AF33" s="17" t="s">
        <v>70</v>
      </c>
    </row>
    <row r="34" spans="1:32" ht="58.5" customHeight="1" x14ac:dyDescent="0.35">
      <c r="A34" s="60">
        <v>1</v>
      </c>
      <c r="B34" s="61" t="s">
        <v>1149</v>
      </c>
      <c r="C34" s="92" t="s">
        <v>1073</v>
      </c>
      <c r="D34" s="93" t="s">
        <v>1151</v>
      </c>
      <c r="E34" s="62" t="s">
        <v>141</v>
      </c>
      <c r="F34" s="85" t="s">
        <v>1112</v>
      </c>
      <c r="G34" s="86" t="s">
        <v>1115</v>
      </c>
      <c r="H34" s="78" t="s">
        <v>149</v>
      </c>
      <c r="I34" s="79" t="s">
        <v>51</v>
      </c>
      <c r="J34" s="79" t="s">
        <v>70</v>
      </c>
      <c r="K34" s="79"/>
      <c r="L34" s="75" t="s">
        <v>150</v>
      </c>
      <c r="M34" s="69" t="s">
        <v>1516</v>
      </c>
      <c r="N34" s="75"/>
      <c r="O34" s="75"/>
      <c r="P34" s="76">
        <v>36</v>
      </c>
      <c r="Q34" s="76">
        <v>4</v>
      </c>
      <c r="R34" s="76">
        <v>12</v>
      </c>
      <c r="S34" s="77">
        <v>20</v>
      </c>
      <c r="T34" s="192"/>
      <c r="U34" s="192"/>
      <c r="V34" s="192"/>
      <c r="W34" s="192"/>
      <c r="X34" s="192"/>
      <c r="Y34" s="192"/>
      <c r="Z34" s="192"/>
      <c r="AA34" s="192"/>
      <c r="AB34" s="192"/>
      <c r="AC34" s="192"/>
      <c r="AD34" s="192"/>
      <c r="AE34" s="20" t="s">
        <v>151</v>
      </c>
      <c r="AF34" s="17" t="s">
        <v>70</v>
      </c>
    </row>
    <row r="35" spans="1:32" ht="58.5" customHeight="1" x14ac:dyDescent="0.35">
      <c r="A35" s="60">
        <v>1</v>
      </c>
      <c r="B35" s="61" t="s">
        <v>1149</v>
      </c>
      <c r="C35" s="92" t="s">
        <v>1073</v>
      </c>
      <c r="D35" s="93" t="s">
        <v>1151</v>
      </c>
      <c r="E35" s="62" t="s">
        <v>141</v>
      </c>
      <c r="F35" s="85" t="s">
        <v>1112</v>
      </c>
      <c r="G35" s="86" t="s">
        <v>1115</v>
      </c>
      <c r="H35" s="78" t="s">
        <v>149</v>
      </c>
      <c r="I35" s="79" t="s">
        <v>51</v>
      </c>
      <c r="J35" s="79" t="s">
        <v>70</v>
      </c>
      <c r="K35" s="95"/>
      <c r="L35" s="75" t="s">
        <v>152</v>
      </c>
      <c r="M35" s="69" t="s">
        <v>1516</v>
      </c>
      <c r="N35" s="75"/>
      <c r="O35" s="75"/>
      <c r="P35" s="96">
        <v>1000</v>
      </c>
      <c r="Q35" s="76">
        <v>200</v>
      </c>
      <c r="R35" s="76">
        <v>300</v>
      </c>
      <c r="S35" s="77">
        <v>500</v>
      </c>
      <c r="T35" s="192"/>
      <c r="U35" s="192"/>
      <c r="V35" s="192"/>
      <c r="W35" s="192"/>
      <c r="X35" s="192"/>
      <c r="Y35" s="192"/>
      <c r="Z35" s="192"/>
      <c r="AA35" s="192"/>
      <c r="AB35" s="192"/>
      <c r="AC35" s="192"/>
      <c r="AD35" s="192"/>
      <c r="AE35" s="17" t="s">
        <v>153</v>
      </c>
      <c r="AF35" s="17" t="s">
        <v>70</v>
      </c>
    </row>
    <row r="36" spans="1:32" ht="60" x14ac:dyDescent="0.35">
      <c r="A36" s="60">
        <v>1</v>
      </c>
      <c r="B36" s="61" t="s">
        <v>1149</v>
      </c>
      <c r="C36" s="92" t="s">
        <v>1073</v>
      </c>
      <c r="D36" s="93" t="s">
        <v>1151</v>
      </c>
      <c r="E36" s="62" t="s">
        <v>154</v>
      </c>
      <c r="F36" s="85" t="s">
        <v>1116</v>
      </c>
      <c r="G36" s="97" t="s">
        <v>1117</v>
      </c>
      <c r="H36" s="79" t="s">
        <v>155</v>
      </c>
      <c r="I36" s="79" t="s">
        <v>42</v>
      </c>
      <c r="J36" s="80" t="s">
        <v>47</v>
      </c>
      <c r="K36" s="79" t="s">
        <v>156</v>
      </c>
      <c r="L36" s="75" t="s">
        <v>157</v>
      </c>
      <c r="M36" s="75" t="s">
        <v>1515</v>
      </c>
      <c r="N36" s="75"/>
      <c r="O36" s="75"/>
      <c r="P36" s="76">
        <v>1</v>
      </c>
      <c r="Q36" s="76">
        <v>1</v>
      </c>
      <c r="R36" s="76"/>
      <c r="S36" s="77"/>
      <c r="T36" s="192"/>
      <c r="U36" s="192"/>
      <c r="V36" s="192"/>
      <c r="W36" s="192"/>
      <c r="X36" s="192"/>
      <c r="Y36" s="192"/>
      <c r="Z36" s="192"/>
      <c r="AA36" s="192"/>
      <c r="AB36" s="192"/>
      <c r="AC36" s="192"/>
      <c r="AD36" s="192"/>
      <c r="AE36" s="20" t="s">
        <v>158</v>
      </c>
      <c r="AF36" s="19" t="s">
        <v>159</v>
      </c>
    </row>
    <row r="37" spans="1:32" ht="60" x14ac:dyDescent="0.35">
      <c r="A37" s="60">
        <v>1</v>
      </c>
      <c r="B37" s="61" t="s">
        <v>1149</v>
      </c>
      <c r="C37" s="92" t="s">
        <v>1073</v>
      </c>
      <c r="D37" s="93" t="s">
        <v>1151</v>
      </c>
      <c r="E37" s="62" t="s">
        <v>154</v>
      </c>
      <c r="F37" s="85" t="s">
        <v>1116</v>
      </c>
      <c r="G37" s="97" t="s">
        <v>1117</v>
      </c>
      <c r="H37" s="79" t="s">
        <v>155</v>
      </c>
      <c r="I37" s="79" t="s">
        <v>42</v>
      </c>
      <c r="J37" s="80" t="s">
        <v>47</v>
      </c>
      <c r="K37" s="79" t="s">
        <v>156</v>
      </c>
      <c r="L37" s="75" t="s">
        <v>53</v>
      </c>
      <c r="M37" s="75" t="s">
        <v>1515</v>
      </c>
      <c r="N37" s="75"/>
      <c r="O37" s="75"/>
      <c r="P37" s="76">
        <v>18</v>
      </c>
      <c r="Q37" s="76">
        <v>2</v>
      </c>
      <c r="R37" s="76">
        <v>6</v>
      </c>
      <c r="S37" s="77">
        <v>10</v>
      </c>
      <c r="T37" s="192"/>
      <c r="U37" s="192"/>
      <c r="V37" s="192"/>
      <c r="W37" s="192"/>
      <c r="X37" s="192"/>
      <c r="Y37" s="192"/>
      <c r="Z37" s="192"/>
      <c r="AA37" s="192"/>
      <c r="AB37" s="192"/>
      <c r="AC37" s="192"/>
      <c r="AD37" s="192"/>
      <c r="AE37" s="17" t="s">
        <v>160</v>
      </c>
      <c r="AF37" s="19" t="s">
        <v>159</v>
      </c>
    </row>
    <row r="38" spans="1:32" ht="60" x14ac:dyDescent="0.35">
      <c r="A38" s="60">
        <v>1</v>
      </c>
      <c r="B38" s="61" t="s">
        <v>1149</v>
      </c>
      <c r="C38" s="92" t="s">
        <v>1073</v>
      </c>
      <c r="D38" s="93" t="s">
        <v>1151</v>
      </c>
      <c r="E38" s="62" t="s">
        <v>154</v>
      </c>
      <c r="F38" s="85" t="s">
        <v>1116</v>
      </c>
      <c r="G38" s="97" t="s">
        <v>1118</v>
      </c>
      <c r="H38" s="79" t="s">
        <v>161</v>
      </c>
      <c r="I38" s="79" t="s">
        <v>42</v>
      </c>
      <c r="J38" s="80" t="s">
        <v>43</v>
      </c>
      <c r="K38" s="79" t="s">
        <v>162</v>
      </c>
      <c r="L38" s="75" t="s">
        <v>163</v>
      </c>
      <c r="M38" s="75" t="s">
        <v>1515</v>
      </c>
      <c r="N38" s="75"/>
      <c r="O38" s="75"/>
      <c r="P38" s="76">
        <v>1</v>
      </c>
      <c r="Q38" s="76">
        <v>1</v>
      </c>
      <c r="R38" s="76"/>
      <c r="S38" s="77"/>
      <c r="T38" s="192"/>
      <c r="U38" s="192"/>
      <c r="V38" s="192"/>
      <c r="W38" s="192"/>
      <c r="X38" s="192"/>
      <c r="Y38" s="192"/>
      <c r="Z38" s="192"/>
      <c r="AA38" s="192"/>
      <c r="AB38" s="192"/>
      <c r="AC38" s="192"/>
      <c r="AD38" s="192"/>
      <c r="AE38" s="20" t="s">
        <v>163</v>
      </c>
      <c r="AF38" s="19" t="s">
        <v>159</v>
      </c>
    </row>
    <row r="39" spans="1:32" ht="60" x14ac:dyDescent="0.35">
      <c r="A39" s="60">
        <v>1</v>
      </c>
      <c r="B39" s="61" t="s">
        <v>1149</v>
      </c>
      <c r="C39" s="92" t="s">
        <v>1073</v>
      </c>
      <c r="D39" s="93" t="s">
        <v>1151</v>
      </c>
      <c r="E39" s="62" t="s">
        <v>154</v>
      </c>
      <c r="F39" s="85" t="s">
        <v>1116</v>
      </c>
      <c r="G39" s="97" t="s">
        <v>1118</v>
      </c>
      <c r="H39" s="79" t="s">
        <v>161</v>
      </c>
      <c r="I39" s="79" t="s">
        <v>42</v>
      </c>
      <c r="J39" s="80" t="s">
        <v>43</v>
      </c>
      <c r="K39" s="79" t="s">
        <v>162</v>
      </c>
      <c r="L39" s="75" t="s">
        <v>53</v>
      </c>
      <c r="M39" s="75" t="s">
        <v>1515</v>
      </c>
      <c r="N39" s="75"/>
      <c r="O39" s="75"/>
      <c r="P39" s="76">
        <v>8</v>
      </c>
      <c r="Q39" s="76"/>
      <c r="R39" s="76">
        <v>3</v>
      </c>
      <c r="S39" s="77">
        <v>5</v>
      </c>
      <c r="T39" s="192"/>
      <c r="U39" s="192"/>
      <c r="V39" s="192"/>
      <c r="W39" s="192"/>
      <c r="X39" s="192"/>
      <c r="Y39" s="192"/>
      <c r="Z39" s="192"/>
      <c r="AA39" s="192"/>
      <c r="AB39" s="192"/>
      <c r="AC39" s="192"/>
      <c r="AD39" s="192"/>
      <c r="AE39" s="17" t="s">
        <v>160</v>
      </c>
      <c r="AF39" s="19" t="s">
        <v>159</v>
      </c>
    </row>
    <row r="40" spans="1:32" ht="60" x14ac:dyDescent="0.35">
      <c r="A40" s="60">
        <v>1</v>
      </c>
      <c r="B40" s="61" t="s">
        <v>1149</v>
      </c>
      <c r="C40" s="92" t="s">
        <v>1073</v>
      </c>
      <c r="D40" s="93" t="s">
        <v>1151</v>
      </c>
      <c r="E40" s="62" t="s">
        <v>154</v>
      </c>
      <c r="F40" s="85" t="s">
        <v>1116</v>
      </c>
      <c r="G40" s="97" t="s">
        <v>1119</v>
      </c>
      <c r="H40" s="75" t="s">
        <v>164</v>
      </c>
      <c r="I40" s="94" t="s">
        <v>51</v>
      </c>
      <c r="J40" s="81" t="s">
        <v>165</v>
      </c>
      <c r="K40" s="75"/>
      <c r="L40" s="81" t="s">
        <v>166</v>
      </c>
      <c r="M40" s="81" t="s">
        <v>1515</v>
      </c>
      <c r="N40" s="81"/>
      <c r="O40" s="81"/>
      <c r="P40" s="76">
        <v>1</v>
      </c>
      <c r="Q40" s="76">
        <v>1</v>
      </c>
      <c r="R40" s="76"/>
      <c r="S40" s="77"/>
      <c r="T40" s="192"/>
      <c r="U40" s="192"/>
      <c r="V40" s="192"/>
      <c r="W40" s="192"/>
      <c r="X40" s="192"/>
      <c r="Y40" s="192"/>
      <c r="Z40" s="192"/>
      <c r="AA40" s="192"/>
      <c r="AB40" s="192"/>
      <c r="AC40" s="192"/>
      <c r="AD40" s="192"/>
      <c r="AE40" s="20" t="s">
        <v>167</v>
      </c>
      <c r="AF40" s="22" t="s">
        <v>168</v>
      </c>
    </row>
    <row r="41" spans="1:32" ht="60" x14ac:dyDescent="0.35">
      <c r="A41" s="60">
        <v>1</v>
      </c>
      <c r="B41" s="61" t="s">
        <v>1149</v>
      </c>
      <c r="C41" s="92" t="s">
        <v>1073</v>
      </c>
      <c r="D41" s="93" t="s">
        <v>1151</v>
      </c>
      <c r="E41" s="62" t="s">
        <v>154</v>
      </c>
      <c r="F41" s="85" t="s">
        <v>1116</v>
      </c>
      <c r="G41" s="97" t="s">
        <v>1120</v>
      </c>
      <c r="H41" s="79" t="s">
        <v>169</v>
      </c>
      <c r="I41" s="98" t="s">
        <v>42</v>
      </c>
      <c r="J41" s="80" t="s">
        <v>47</v>
      </c>
      <c r="K41" s="79" t="s">
        <v>162</v>
      </c>
      <c r="L41" s="75" t="s">
        <v>170</v>
      </c>
      <c r="M41" s="75" t="s">
        <v>1515</v>
      </c>
      <c r="N41" s="75"/>
      <c r="O41" s="75"/>
      <c r="P41" s="76">
        <v>16</v>
      </c>
      <c r="Q41" s="76"/>
      <c r="R41" s="76">
        <v>6</v>
      </c>
      <c r="S41" s="77">
        <v>10</v>
      </c>
      <c r="T41" s="192"/>
      <c r="U41" s="192"/>
      <c r="V41" s="192"/>
      <c r="W41" s="192"/>
      <c r="X41" s="192"/>
      <c r="Y41" s="192"/>
      <c r="Z41" s="192"/>
      <c r="AA41" s="192"/>
      <c r="AB41" s="192"/>
      <c r="AC41" s="192"/>
      <c r="AD41" s="192"/>
      <c r="AE41" s="17" t="s">
        <v>171</v>
      </c>
      <c r="AF41" s="19" t="s">
        <v>159</v>
      </c>
    </row>
    <row r="42" spans="1:32" ht="60" x14ac:dyDescent="0.35">
      <c r="A42" s="60">
        <v>1</v>
      </c>
      <c r="B42" s="61" t="s">
        <v>1149</v>
      </c>
      <c r="C42" s="92" t="s">
        <v>1073</v>
      </c>
      <c r="D42" s="93" t="s">
        <v>1151</v>
      </c>
      <c r="E42" s="62" t="s">
        <v>154</v>
      </c>
      <c r="F42" s="85" t="s">
        <v>1116</v>
      </c>
      <c r="G42" s="97" t="s">
        <v>1120</v>
      </c>
      <c r="H42" s="79" t="s">
        <v>169</v>
      </c>
      <c r="I42" s="98" t="s">
        <v>42</v>
      </c>
      <c r="J42" s="80" t="s">
        <v>47</v>
      </c>
      <c r="K42" s="79" t="s">
        <v>162</v>
      </c>
      <c r="L42" s="75" t="s">
        <v>172</v>
      </c>
      <c r="M42" s="75" t="s">
        <v>1515</v>
      </c>
      <c r="N42" s="75"/>
      <c r="O42" s="75"/>
      <c r="P42" s="96">
        <v>4800</v>
      </c>
      <c r="Q42" s="76"/>
      <c r="R42" s="96">
        <v>1800</v>
      </c>
      <c r="S42" s="99">
        <v>3000</v>
      </c>
      <c r="T42" s="194"/>
      <c r="U42" s="194"/>
      <c r="V42" s="194"/>
      <c r="W42" s="194"/>
      <c r="X42" s="194"/>
      <c r="Y42" s="194"/>
      <c r="Z42" s="194"/>
      <c r="AA42" s="194"/>
      <c r="AB42" s="194"/>
      <c r="AC42" s="194"/>
      <c r="AD42" s="194"/>
      <c r="AE42" s="20" t="s">
        <v>173</v>
      </c>
      <c r="AF42" s="19" t="s">
        <v>159</v>
      </c>
    </row>
    <row r="43" spans="1:32" ht="66" x14ac:dyDescent="0.35">
      <c r="A43" s="60">
        <v>1</v>
      </c>
      <c r="B43" s="61" t="s">
        <v>1149</v>
      </c>
      <c r="C43" s="92" t="s">
        <v>1074</v>
      </c>
      <c r="D43" s="61" t="s">
        <v>1152</v>
      </c>
      <c r="E43" s="100" t="s">
        <v>174</v>
      </c>
      <c r="F43" s="101" t="s">
        <v>1121</v>
      </c>
      <c r="G43" s="102" t="s">
        <v>1122</v>
      </c>
      <c r="H43" s="75" t="s">
        <v>175</v>
      </c>
      <c r="I43" s="73" t="s">
        <v>42</v>
      </c>
      <c r="J43" s="74" t="s">
        <v>50</v>
      </c>
      <c r="K43" s="75"/>
      <c r="L43" s="75" t="s">
        <v>176</v>
      </c>
      <c r="M43" s="69" t="s">
        <v>1516</v>
      </c>
      <c r="N43" s="75"/>
      <c r="O43" s="75"/>
      <c r="P43" s="76">
        <v>1</v>
      </c>
      <c r="Q43" s="76">
        <v>1</v>
      </c>
      <c r="R43" s="76"/>
      <c r="S43" s="77"/>
      <c r="T43" s="192"/>
      <c r="U43" s="192"/>
      <c r="V43" s="192"/>
      <c r="W43" s="192"/>
      <c r="X43" s="192"/>
      <c r="Y43" s="192"/>
      <c r="Z43" s="192"/>
      <c r="AA43" s="192"/>
      <c r="AB43" s="192"/>
      <c r="AC43" s="192"/>
      <c r="AD43" s="192"/>
      <c r="AE43" s="17" t="s">
        <v>176</v>
      </c>
      <c r="AF43" s="17" t="s">
        <v>42</v>
      </c>
    </row>
    <row r="44" spans="1:32" ht="66" x14ac:dyDescent="0.35">
      <c r="A44" s="60">
        <v>1</v>
      </c>
      <c r="B44" s="61" t="s">
        <v>1149</v>
      </c>
      <c r="C44" s="92" t="s">
        <v>1074</v>
      </c>
      <c r="D44" s="61" t="s">
        <v>1152</v>
      </c>
      <c r="E44" s="100" t="s">
        <v>174</v>
      </c>
      <c r="F44" s="101" t="s">
        <v>1121</v>
      </c>
      <c r="G44" s="102" t="s">
        <v>1123</v>
      </c>
      <c r="H44" s="79" t="s">
        <v>177</v>
      </c>
      <c r="I44" s="79" t="s">
        <v>42</v>
      </c>
      <c r="J44" s="80" t="s">
        <v>47</v>
      </c>
      <c r="K44" s="79" t="s">
        <v>44</v>
      </c>
      <c r="L44" s="75" t="s">
        <v>178</v>
      </c>
      <c r="M44" s="69" t="s">
        <v>1516</v>
      </c>
      <c r="N44" s="75"/>
      <c r="O44" s="75"/>
      <c r="P44" s="76">
        <v>3</v>
      </c>
      <c r="Q44" s="76">
        <v>1</v>
      </c>
      <c r="R44" s="76">
        <v>1</v>
      </c>
      <c r="S44" s="77">
        <v>1</v>
      </c>
      <c r="T44" s="192"/>
      <c r="U44" s="192"/>
      <c r="V44" s="192"/>
      <c r="W44" s="192"/>
      <c r="X44" s="192"/>
      <c r="Y44" s="192"/>
      <c r="Z44" s="192"/>
      <c r="AA44" s="192"/>
      <c r="AB44" s="192"/>
      <c r="AC44" s="192"/>
      <c r="AD44" s="192"/>
      <c r="AE44" s="20" t="s">
        <v>179</v>
      </c>
      <c r="AF44" s="20" t="s">
        <v>180</v>
      </c>
    </row>
    <row r="45" spans="1:32" ht="66" x14ac:dyDescent="0.35">
      <c r="A45" s="60">
        <v>1</v>
      </c>
      <c r="B45" s="61" t="s">
        <v>1149</v>
      </c>
      <c r="C45" s="92" t="s">
        <v>1074</v>
      </c>
      <c r="D45" s="61" t="s">
        <v>1152</v>
      </c>
      <c r="E45" s="100" t="s">
        <v>174</v>
      </c>
      <c r="F45" s="101" t="s">
        <v>1121</v>
      </c>
      <c r="G45" s="102" t="s">
        <v>1123</v>
      </c>
      <c r="H45" s="79" t="s">
        <v>177</v>
      </c>
      <c r="I45" s="79" t="s">
        <v>42</v>
      </c>
      <c r="J45" s="80" t="s">
        <v>47</v>
      </c>
      <c r="K45" s="79" t="s">
        <v>44</v>
      </c>
      <c r="L45" s="75" t="s">
        <v>181</v>
      </c>
      <c r="M45" s="69" t="s">
        <v>1516</v>
      </c>
      <c r="N45" s="75"/>
      <c r="O45" s="75"/>
      <c r="P45" s="76">
        <v>3</v>
      </c>
      <c r="Q45" s="76">
        <v>1</v>
      </c>
      <c r="R45" s="76">
        <v>1</v>
      </c>
      <c r="S45" s="77">
        <v>1</v>
      </c>
      <c r="T45" s="192"/>
      <c r="U45" s="192"/>
      <c r="V45" s="192"/>
      <c r="W45" s="192"/>
      <c r="X45" s="192"/>
      <c r="Y45" s="192"/>
      <c r="Z45" s="192"/>
      <c r="AA45" s="192"/>
      <c r="AB45" s="192"/>
      <c r="AC45" s="192"/>
      <c r="AD45" s="192"/>
      <c r="AE45" s="20" t="s">
        <v>182</v>
      </c>
      <c r="AF45" s="20" t="s">
        <v>180</v>
      </c>
    </row>
    <row r="46" spans="1:32" ht="66" x14ac:dyDescent="0.35">
      <c r="A46" s="60">
        <v>1</v>
      </c>
      <c r="B46" s="61" t="s">
        <v>1149</v>
      </c>
      <c r="C46" s="92" t="s">
        <v>1074</v>
      </c>
      <c r="D46" s="61" t="s">
        <v>1152</v>
      </c>
      <c r="E46" s="100" t="s">
        <v>174</v>
      </c>
      <c r="F46" s="101" t="s">
        <v>1121</v>
      </c>
      <c r="G46" s="102" t="s">
        <v>1124</v>
      </c>
      <c r="H46" s="79" t="s">
        <v>1127</v>
      </c>
      <c r="I46" s="79" t="s">
        <v>42</v>
      </c>
      <c r="J46" s="80" t="s">
        <v>47</v>
      </c>
      <c r="K46" s="79"/>
      <c r="L46" s="75" t="s">
        <v>183</v>
      </c>
      <c r="M46" s="69" t="s">
        <v>1516</v>
      </c>
      <c r="N46" s="75"/>
      <c r="O46" s="75"/>
      <c r="P46" s="76">
        <v>4</v>
      </c>
      <c r="Q46" s="76">
        <v>4</v>
      </c>
      <c r="R46" s="76"/>
      <c r="S46" s="77"/>
      <c r="T46" s="192"/>
      <c r="U46" s="192"/>
      <c r="V46" s="192"/>
      <c r="W46" s="192"/>
      <c r="X46" s="192"/>
      <c r="Y46" s="192"/>
      <c r="Z46" s="192"/>
      <c r="AA46" s="192"/>
      <c r="AB46" s="192"/>
      <c r="AC46" s="192"/>
      <c r="AD46" s="192"/>
      <c r="AE46" s="20" t="s">
        <v>184</v>
      </c>
      <c r="AF46" s="20" t="s">
        <v>42</v>
      </c>
    </row>
    <row r="47" spans="1:32" ht="66" x14ac:dyDescent="0.35">
      <c r="A47" s="60">
        <v>1</v>
      </c>
      <c r="B47" s="61" t="s">
        <v>1149</v>
      </c>
      <c r="C47" s="92" t="s">
        <v>1074</v>
      </c>
      <c r="D47" s="61" t="s">
        <v>1152</v>
      </c>
      <c r="E47" s="100" t="s">
        <v>174</v>
      </c>
      <c r="F47" s="101" t="s">
        <v>1121</v>
      </c>
      <c r="G47" s="102" t="s">
        <v>1124</v>
      </c>
      <c r="H47" s="79" t="s">
        <v>1127</v>
      </c>
      <c r="I47" s="79" t="s">
        <v>42</v>
      </c>
      <c r="J47" s="80" t="s">
        <v>47</v>
      </c>
      <c r="K47" s="79"/>
      <c r="L47" s="75" t="s">
        <v>185</v>
      </c>
      <c r="M47" s="69" t="s">
        <v>1516</v>
      </c>
      <c r="N47" s="75"/>
      <c r="O47" s="75"/>
      <c r="P47" s="76">
        <v>1</v>
      </c>
      <c r="Q47" s="76"/>
      <c r="R47" s="76">
        <v>1</v>
      </c>
      <c r="S47" s="77"/>
      <c r="T47" s="192"/>
      <c r="U47" s="192"/>
      <c r="V47" s="192"/>
      <c r="W47" s="192"/>
      <c r="X47" s="192"/>
      <c r="Y47" s="192"/>
      <c r="Z47" s="192"/>
      <c r="AA47" s="192"/>
      <c r="AB47" s="192"/>
      <c r="AC47" s="192"/>
      <c r="AD47" s="192"/>
      <c r="AE47" s="17" t="s">
        <v>186</v>
      </c>
      <c r="AF47" s="20" t="s">
        <v>42</v>
      </c>
    </row>
    <row r="48" spans="1:32" ht="66" x14ac:dyDescent="0.35">
      <c r="A48" s="103">
        <v>1</v>
      </c>
      <c r="B48" s="61" t="s">
        <v>1149</v>
      </c>
      <c r="C48" s="104" t="s">
        <v>1074</v>
      </c>
      <c r="D48" s="61" t="s">
        <v>1152</v>
      </c>
      <c r="E48" s="105" t="s">
        <v>174</v>
      </c>
      <c r="F48" s="101" t="s">
        <v>1121</v>
      </c>
      <c r="G48" s="102" t="s">
        <v>1125</v>
      </c>
      <c r="H48" s="79" t="s">
        <v>187</v>
      </c>
      <c r="I48" s="106" t="s">
        <v>42</v>
      </c>
      <c r="J48" s="107" t="s">
        <v>47</v>
      </c>
      <c r="K48" s="79"/>
      <c r="L48" s="79" t="s">
        <v>188</v>
      </c>
      <c r="M48" s="69" t="s">
        <v>1516</v>
      </c>
      <c r="N48" s="79"/>
      <c r="O48" s="79"/>
      <c r="P48" s="102">
        <v>20</v>
      </c>
      <c r="Q48" s="102">
        <v>4</v>
      </c>
      <c r="R48" s="102">
        <v>6</v>
      </c>
      <c r="S48" s="108">
        <v>10</v>
      </c>
      <c r="T48" s="195"/>
      <c r="U48" s="195"/>
      <c r="V48" s="195"/>
      <c r="W48" s="195"/>
      <c r="X48" s="195"/>
      <c r="Y48" s="195"/>
      <c r="Z48" s="195"/>
      <c r="AA48" s="195"/>
      <c r="AB48" s="195"/>
      <c r="AC48" s="195"/>
      <c r="AD48" s="195"/>
      <c r="AE48" s="20" t="s">
        <v>189</v>
      </c>
      <c r="AF48" s="20" t="s">
        <v>42</v>
      </c>
    </row>
    <row r="49" spans="1:32" ht="66" x14ac:dyDescent="0.35">
      <c r="A49" s="60">
        <v>1</v>
      </c>
      <c r="B49" s="61" t="s">
        <v>1149</v>
      </c>
      <c r="C49" s="92" t="s">
        <v>1074</v>
      </c>
      <c r="D49" s="61" t="s">
        <v>1152</v>
      </c>
      <c r="E49" s="62" t="s">
        <v>174</v>
      </c>
      <c r="F49" s="85" t="s">
        <v>1121</v>
      </c>
      <c r="G49" s="86" t="s">
        <v>1126</v>
      </c>
      <c r="H49" s="85" t="s">
        <v>190</v>
      </c>
      <c r="I49" s="109" t="s">
        <v>42</v>
      </c>
      <c r="J49" s="110" t="s">
        <v>43</v>
      </c>
      <c r="K49" s="85" t="s">
        <v>51</v>
      </c>
      <c r="L49" s="85" t="s">
        <v>191</v>
      </c>
      <c r="M49" s="69" t="s">
        <v>1516</v>
      </c>
      <c r="N49" s="85"/>
      <c r="O49" s="85"/>
      <c r="P49" s="86">
        <v>3</v>
      </c>
      <c r="Q49" s="86">
        <v>1</v>
      </c>
      <c r="R49" s="86">
        <v>1</v>
      </c>
      <c r="S49" s="86">
        <v>1</v>
      </c>
      <c r="T49" s="196"/>
      <c r="U49" s="196"/>
      <c r="V49" s="196"/>
      <c r="W49" s="196"/>
      <c r="X49" s="196"/>
      <c r="Y49" s="196"/>
      <c r="Z49" s="196"/>
      <c r="AA49" s="196"/>
      <c r="AB49" s="196"/>
      <c r="AC49" s="196"/>
      <c r="AD49" s="196"/>
      <c r="AE49" s="58" t="s">
        <v>108</v>
      </c>
      <c r="AF49" s="17" t="s">
        <v>51</v>
      </c>
    </row>
    <row r="50" spans="1:32" ht="66" x14ac:dyDescent="0.35">
      <c r="A50" s="60">
        <v>1</v>
      </c>
      <c r="B50" s="61" t="s">
        <v>1149</v>
      </c>
      <c r="C50" s="92" t="s">
        <v>1074</v>
      </c>
      <c r="D50" s="61" t="s">
        <v>1152</v>
      </c>
      <c r="E50" s="111" t="s">
        <v>192</v>
      </c>
      <c r="F50" s="85" t="s">
        <v>1131</v>
      </c>
      <c r="G50" s="86" t="s">
        <v>1129</v>
      </c>
      <c r="H50" s="85" t="s">
        <v>1130</v>
      </c>
      <c r="I50" s="112" t="s">
        <v>42</v>
      </c>
      <c r="J50" s="85" t="s">
        <v>1132</v>
      </c>
      <c r="K50" s="112" t="s">
        <v>44</v>
      </c>
      <c r="L50" s="85" t="s">
        <v>193</v>
      </c>
      <c r="M50" s="69" t="s">
        <v>1516</v>
      </c>
      <c r="N50" s="85"/>
      <c r="O50" s="85"/>
      <c r="P50" s="86">
        <v>1</v>
      </c>
      <c r="Q50" s="86">
        <v>1</v>
      </c>
      <c r="R50" s="86"/>
      <c r="S50" s="86"/>
      <c r="T50" s="196"/>
      <c r="U50" s="196"/>
      <c r="V50" s="196"/>
      <c r="W50" s="196"/>
      <c r="X50" s="196"/>
      <c r="Y50" s="196"/>
      <c r="Z50" s="196"/>
      <c r="AA50" s="196"/>
      <c r="AB50" s="196"/>
      <c r="AC50" s="196"/>
      <c r="AD50" s="196"/>
      <c r="AE50" s="59" t="s">
        <v>194</v>
      </c>
      <c r="AF50" s="20" t="s">
        <v>180</v>
      </c>
    </row>
    <row r="51" spans="1:32" ht="66" x14ac:dyDescent="0.35">
      <c r="A51" s="113">
        <v>1</v>
      </c>
      <c r="B51" s="61" t="s">
        <v>1149</v>
      </c>
      <c r="C51" s="114" t="s">
        <v>1074</v>
      </c>
      <c r="D51" s="61" t="s">
        <v>1152</v>
      </c>
      <c r="E51" s="111" t="s">
        <v>192</v>
      </c>
      <c r="F51" s="85" t="s">
        <v>1128</v>
      </c>
      <c r="G51" s="86" t="s">
        <v>1133</v>
      </c>
      <c r="H51" s="85" t="s">
        <v>1137</v>
      </c>
      <c r="I51" s="112" t="s">
        <v>42</v>
      </c>
      <c r="J51" s="85" t="s">
        <v>1132</v>
      </c>
      <c r="K51" s="112" t="s">
        <v>44</v>
      </c>
      <c r="L51" s="85" t="s">
        <v>196</v>
      </c>
      <c r="M51" s="69" t="s">
        <v>1516</v>
      </c>
      <c r="N51" s="85"/>
      <c r="O51" s="85"/>
      <c r="P51" s="86">
        <v>1</v>
      </c>
      <c r="Q51" s="86">
        <v>1</v>
      </c>
      <c r="R51" s="70"/>
      <c r="S51" s="71"/>
      <c r="T51" s="191"/>
      <c r="U51" s="191"/>
      <c r="V51" s="191"/>
      <c r="W51" s="191"/>
      <c r="X51" s="191"/>
      <c r="Y51" s="191"/>
      <c r="Z51" s="191"/>
      <c r="AA51" s="191"/>
      <c r="AB51" s="191"/>
      <c r="AC51" s="191"/>
      <c r="AD51" s="191"/>
      <c r="AE51" s="20" t="s">
        <v>197</v>
      </c>
      <c r="AF51" s="20" t="s">
        <v>198</v>
      </c>
    </row>
    <row r="52" spans="1:32" ht="66" x14ac:dyDescent="0.35">
      <c r="A52" s="60">
        <v>1</v>
      </c>
      <c r="B52" s="61" t="s">
        <v>1149</v>
      </c>
      <c r="C52" s="92" t="s">
        <v>1074</v>
      </c>
      <c r="D52" s="61" t="s">
        <v>1152</v>
      </c>
      <c r="E52" s="111" t="s">
        <v>192</v>
      </c>
      <c r="F52" s="85" t="s">
        <v>1128</v>
      </c>
      <c r="G52" s="86" t="s">
        <v>1133</v>
      </c>
      <c r="H52" s="85" t="s">
        <v>1137</v>
      </c>
      <c r="I52" s="115" t="s">
        <v>42</v>
      </c>
      <c r="J52" s="80" t="s">
        <v>43</v>
      </c>
      <c r="K52" s="115" t="s">
        <v>195</v>
      </c>
      <c r="L52" s="72" t="s">
        <v>199</v>
      </c>
      <c r="M52" s="69" t="s">
        <v>1516</v>
      </c>
      <c r="N52" s="72"/>
      <c r="O52" s="72"/>
      <c r="P52" s="76">
        <v>60</v>
      </c>
      <c r="Q52" s="76">
        <v>12</v>
      </c>
      <c r="R52" s="76">
        <v>18</v>
      </c>
      <c r="S52" s="77">
        <v>30</v>
      </c>
      <c r="T52" s="192"/>
      <c r="U52" s="192"/>
      <c r="V52" s="192"/>
      <c r="W52" s="192"/>
      <c r="X52" s="192"/>
      <c r="Y52" s="192"/>
      <c r="Z52" s="192"/>
      <c r="AA52" s="192"/>
      <c r="AB52" s="192"/>
      <c r="AC52" s="192"/>
      <c r="AD52" s="192"/>
      <c r="AE52" s="17" t="s">
        <v>200</v>
      </c>
      <c r="AF52" s="20" t="s">
        <v>198</v>
      </c>
    </row>
    <row r="53" spans="1:32" ht="34.5" customHeight="1" x14ac:dyDescent="0.35">
      <c r="A53" s="60">
        <v>1</v>
      </c>
      <c r="B53" s="61" t="s">
        <v>1149</v>
      </c>
      <c r="C53" s="92" t="s">
        <v>1074</v>
      </c>
      <c r="D53" s="61" t="s">
        <v>1152</v>
      </c>
      <c r="E53" s="111" t="s">
        <v>192</v>
      </c>
      <c r="F53" s="85" t="s">
        <v>1128</v>
      </c>
      <c r="G53" s="86" t="s">
        <v>1134</v>
      </c>
      <c r="H53" s="116" t="s">
        <v>201</v>
      </c>
      <c r="I53" s="117" t="s">
        <v>51</v>
      </c>
      <c r="J53" s="68" t="s">
        <v>70</v>
      </c>
      <c r="K53" s="118" t="s">
        <v>202</v>
      </c>
      <c r="L53" s="75" t="s">
        <v>203</v>
      </c>
      <c r="M53" s="69" t="s">
        <v>1516</v>
      </c>
      <c r="N53" s="75"/>
      <c r="O53" s="75"/>
      <c r="P53" s="76">
        <v>30</v>
      </c>
      <c r="Q53" s="76"/>
      <c r="R53" s="76">
        <v>30</v>
      </c>
      <c r="S53" s="77"/>
      <c r="T53" s="192"/>
      <c r="U53" s="192"/>
      <c r="V53" s="192"/>
      <c r="W53" s="192"/>
      <c r="X53" s="192"/>
      <c r="Y53" s="192"/>
      <c r="Z53" s="192"/>
      <c r="AA53" s="192"/>
      <c r="AB53" s="192"/>
      <c r="AC53" s="192"/>
      <c r="AD53" s="192"/>
      <c r="AE53" s="20" t="s">
        <v>204</v>
      </c>
      <c r="AF53" s="20" t="s">
        <v>70</v>
      </c>
    </row>
    <row r="54" spans="1:32" ht="66" x14ac:dyDescent="0.35">
      <c r="A54" s="60">
        <v>1</v>
      </c>
      <c r="B54" s="61" t="s">
        <v>1149</v>
      </c>
      <c r="C54" s="92" t="s">
        <v>1074</v>
      </c>
      <c r="D54" s="61" t="s">
        <v>1152</v>
      </c>
      <c r="E54" s="111" t="s">
        <v>192</v>
      </c>
      <c r="F54" s="85" t="s">
        <v>1128</v>
      </c>
      <c r="G54" s="86" t="s">
        <v>1135</v>
      </c>
      <c r="H54" s="75" t="s">
        <v>205</v>
      </c>
      <c r="I54" s="119" t="s">
        <v>51</v>
      </c>
      <c r="J54" s="75" t="s">
        <v>70</v>
      </c>
      <c r="K54" s="120" t="s">
        <v>206</v>
      </c>
      <c r="L54" s="75" t="s">
        <v>207</v>
      </c>
      <c r="M54" s="69" t="s">
        <v>1516</v>
      </c>
      <c r="N54" s="75"/>
      <c r="O54" s="75"/>
      <c r="P54" s="76">
        <v>20</v>
      </c>
      <c r="Q54" s="76"/>
      <c r="R54" s="76">
        <v>20</v>
      </c>
      <c r="S54" s="77"/>
      <c r="T54" s="192"/>
      <c r="U54" s="192"/>
      <c r="V54" s="192"/>
      <c r="W54" s="192"/>
      <c r="X54" s="192"/>
      <c r="Y54" s="192"/>
      <c r="Z54" s="192"/>
      <c r="AA54" s="192"/>
      <c r="AB54" s="192"/>
      <c r="AC54" s="192"/>
      <c r="AD54" s="192"/>
      <c r="AE54" s="17" t="s">
        <v>208</v>
      </c>
      <c r="AF54" s="20" t="s">
        <v>70</v>
      </c>
    </row>
    <row r="55" spans="1:32" ht="66" x14ac:dyDescent="0.35">
      <c r="A55" s="60">
        <v>1</v>
      </c>
      <c r="B55" s="61" t="s">
        <v>1149</v>
      </c>
      <c r="C55" s="92" t="s">
        <v>1074</v>
      </c>
      <c r="D55" s="61" t="s">
        <v>1152</v>
      </c>
      <c r="E55" s="111" t="s">
        <v>192</v>
      </c>
      <c r="F55" s="85" t="s">
        <v>1128</v>
      </c>
      <c r="G55" s="86" t="s">
        <v>1136</v>
      </c>
      <c r="H55" s="75" t="s">
        <v>209</v>
      </c>
      <c r="I55" s="121" t="s">
        <v>51</v>
      </c>
      <c r="J55" s="75" t="s">
        <v>70</v>
      </c>
      <c r="K55" s="120" t="s">
        <v>106</v>
      </c>
      <c r="L55" s="81" t="s">
        <v>1138</v>
      </c>
      <c r="M55" s="69" t="s">
        <v>1516</v>
      </c>
      <c r="N55" s="81"/>
      <c r="O55" s="81"/>
      <c r="P55" s="82">
        <v>1</v>
      </c>
      <c r="Q55" s="82">
        <v>1</v>
      </c>
      <c r="R55" s="76"/>
      <c r="S55" s="77"/>
      <c r="T55" s="192"/>
      <c r="U55" s="192"/>
      <c r="V55" s="192"/>
      <c r="W55" s="192"/>
      <c r="X55" s="192"/>
      <c r="Y55" s="192"/>
      <c r="Z55" s="192"/>
      <c r="AA55" s="192"/>
      <c r="AB55" s="192"/>
      <c r="AC55" s="192"/>
      <c r="AD55" s="192"/>
      <c r="AE55" s="22" t="s">
        <v>210</v>
      </c>
      <c r="AF55" s="20" t="s">
        <v>70</v>
      </c>
    </row>
    <row r="56" spans="1:32" ht="66" x14ac:dyDescent="0.35">
      <c r="A56" s="60">
        <v>1</v>
      </c>
      <c r="B56" s="61" t="s">
        <v>1149</v>
      </c>
      <c r="C56" s="92" t="s">
        <v>1074</v>
      </c>
      <c r="D56" s="61" t="s">
        <v>1152</v>
      </c>
      <c r="E56" s="111" t="s">
        <v>211</v>
      </c>
      <c r="F56" s="85" t="s">
        <v>212</v>
      </c>
      <c r="G56" s="86" t="s">
        <v>1139</v>
      </c>
      <c r="H56" s="72" t="s">
        <v>213</v>
      </c>
      <c r="I56" s="121" t="s">
        <v>51</v>
      </c>
      <c r="J56" s="75" t="s">
        <v>70</v>
      </c>
      <c r="K56" s="75" t="s">
        <v>214</v>
      </c>
      <c r="L56" s="75" t="s">
        <v>215</v>
      </c>
      <c r="M56" s="75" t="s">
        <v>1515</v>
      </c>
      <c r="N56" s="75"/>
      <c r="O56" s="75"/>
      <c r="P56" s="76">
        <v>6</v>
      </c>
      <c r="Q56" s="76">
        <v>2</v>
      </c>
      <c r="R56" s="76">
        <v>2</v>
      </c>
      <c r="S56" s="77">
        <v>2</v>
      </c>
      <c r="T56" s="192"/>
      <c r="U56" s="192"/>
      <c r="V56" s="192"/>
      <c r="W56" s="192"/>
      <c r="X56" s="192"/>
      <c r="Y56" s="192"/>
      <c r="Z56" s="192"/>
      <c r="AA56" s="192"/>
      <c r="AB56" s="192"/>
      <c r="AC56" s="192"/>
      <c r="AD56" s="192"/>
      <c r="AE56" s="17" t="s">
        <v>216</v>
      </c>
      <c r="AF56" s="20" t="s">
        <v>70</v>
      </c>
    </row>
    <row r="57" spans="1:32" ht="66" x14ac:dyDescent="0.35">
      <c r="A57" s="60">
        <v>1</v>
      </c>
      <c r="B57" s="61" t="s">
        <v>1149</v>
      </c>
      <c r="C57" s="92" t="s">
        <v>1074</v>
      </c>
      <c r="D57" s="61" t="s">
        <v>1152</v>
      </c>
      <c r="E57" s="111" t="s">
        <v>211</v>
      </c>
      <c r="F57" s="85" t="s">
        <v>212</v>
      </c>
      <c r="G57" s="86" t="s">
        <v>1140</v>
      </c>
      <c r="H57" s="72" t="s">
        <v>217</v>
      </c>
      <c r="I57" s="119" t="s">
        <v>60</v>
      </c>
      <c r="J57" s="75" t="s">
        <v>98</v>
      </c>
      <c r="K57" s="75" t="s">
        <v>218</v>
      </c>
      <c r="L57" s="75" t="s">
        <v>219</v>
      </c>
      <c r="M57" s="75" t="s">
        <v>1515</v>
      </c>
      <c r="N57" s="75"/>
      <c r="O57" s="75"/>
      <c r="P57" s="76">
        <v>10</v>
      </c>
      <c r="Q57" s="76">
        <v>2</v>
      </c>
      <c r="R57" s="76">
        <v>3</v>
      </c>
      <c r="S57" s="77">
        <v>5</v>
      </c>
      <c r="T57" s="192"/>
      <c r="U57" s="192"/>
      <c r="V57" s="192"/>
      <c r="W57" s="192"/>
      <c r="X57" s="192"/>
      <c r="Y57" s="192"/>
      <c r="Z57" s="192"/>
      <c r="AA57" s="192"/>
      <c r="AB57" s="192"/>
      <c r="AC57" s="192"/>
      <c r="AD57" s="192"/>
      <c r="AE57" s="20" t="s">
        <v>220</v>
      </c>
      <c r="AF57" s="20" t="s">
        <v>60</v>
      </c>
    </row>
    <row r="58" spans="1:32" ht="66" x14ac:dyDescent="0.35">
      <c r="A58" s="60">
        <v>1</v>
      </c>
      <c r="B58" s="61" t="s">
        <v>1149</v>
      </c>
      <c r="C58" s="92" t="s">
        <v>1074</v>
      </c>
      <c r="D58" s="61" t="s">
        <v>1152</v>
      </c>
      <c r="E58" s="122" t="s">
        <v>221</v>
      </c>
      <c r="F58" s="101" t="s">
        <v>1142</v>
      </c>
      <c r="G58" s="123" t="s">
        <v>1141</v>
      </c>
      <c r="H58" s="75" t="s">
        <v>222</v>
      </c>
      <c r="I58" s="73" t="s">
        <v>42</v>
      </c>
      <c r="J58" s="74" t="s">
        <v>47</v>
      </c>
      <c r="K58" s="75" t="s">
        <v>223</v>
      </c>
      <c r="L58" s="75" t="s">
        <v>224</v>
      </c>
      <c r="M58" s="75" t="s">
        <v>1515</v>
      </c>
      <c r="N58" s="75"/>
      <c r="O58" s="75"/>
      <c r="P58" s="76">
        <v>1</v>
      </c>
      <c r="Q58" s="76">
        <v>1</v>
      </c>
      <c r="R58" s="76"/>
      <c r="S58" s="77"/>
      <c r="T58" s="192"/>
      <c r="U58" s="192"/>
      <c r="V58" s="192"/>
      <c r="W58" s="192"/>
      <c r="X58" s="192"/>
      <c r="Y58" s="192"/>
      <c r="Z58" s="192"/>
      <c r="AA58" s="192"/>
      <c r="AB58" s="192"/>
      <c r="AC58" s="192"/>
      <c r="AD58" s="192"/>
      <c r="AE58" s="17" t="s">
        <v>225</v>
      </c>
      <c r="AF58" s="17" t="s">
        <v>42</v>
      </c>
    </row>
    <row r="59" spans="1:32" ht="66" x14ac:dyDescent="0.35">
      <c r="A59" s="60">
        <v>1</v>
      </c>
      <c r="B59" s="61" t="s">
        <v>1149</v>
      </c>
      <c r="C59" s="92" t="s">
        <v>1074</v>
      </c>
      <c r="D59" s="61" t="s">
        <v>1152</v>
      </c>
      <c r="E59" s="122" t="s">
        <v>221</v>
      </c>
      <c r="F59" s="101" t="s">
        <v>1142</v>
      </c>
      <c r="G59" s="123" t="s">
        <v>1143</v>
      </c>
      <c r="H59" s="75" t="s">
        <v>226</v>
      </c>
      <c r="I59" s="73" t="s">
        <v>51</v>
      </c>
      <c r="J59" s="75" t="s">
        <v>70</v>
      </c>
      <c r="K59" s="75" t="s">
        <v>214</v>
      </c>
      <c r="L59" s="75" t="s">
        <v>227</v>
      </c>
      <c r="M59" s="75" t="s">
        <v>1515</v>
      </c>
      <c r="N59" s="75"/>
      <c r="O59" s="75"/>
      <c r="P59" s="76">
        <v>1</v>
      </c>
      <c r="Q59" s="76">
        <v>1</v>
      </c>
      <c r="R59" s="76"/>
      <c r="S59" s="77"/>
      <c r="T59" s="192"/>
      <c r="U59" s="192"/>
      <c r="V59" s="192"/>
      <c r="W59" s="192"/>
      <c r="X59" s="192"/>
      <c r="Y59" s="192"/>
      <c r="Z59" s="192"/>
      <c r="AA59" s="192"/>
      <c r="AB59" s="192"/>
      <c r="AC59" s="192"/>
      <c r="AD59" s="192"/>
      <c r="AE59" s="20" t="s">
        <v>228</v>
      </c>
      <c r="AF59" s="20" t="s">
        <v>70</v>
      </c>
    </row>
    <row r="60" spans="1:32" ht="66" x14ac:dyDescent="0.35">
      <c r="A60" s="60">
        <v>1</v>
      </c>
      <c r="B60" s="61" t="s">
        <v>1149</v>
      </c>
      <c r="C60" s="92" t="s">
        <v>1074</v>
      </c>
      <c r="D60" s="61" t="s">
        <v>1152</v>
      </c>
      <c r="E60" s="122" t="s">
        <v>221</v>
      </c>
      <c r="F60" s="101" t="s">
        <v>1142</v>
      </c>
      <c r="G60" s="123" t="s">
        <v>1144</v>
      </c>
      <c r="H60" s="75" t="s">
        <v>229</v>
      </c>
      <c r="I60" s="94" t="s">
        <v>42</v>
      </c>
      <c r="J60" s="74" t="s">
        <v>47</v>
      </c>
      <c r="K60" s="75" t="s">
        <v>230</v>
      </c>
      <c r="L60" s="75" t="s">
        <v>231</v>
      </c>
      <c r="M60" s="75" t="s">
        <v>1515</v>
      </c>
      <c r="N60" s="75"/>
      <c r="O60" s="75"/>
      <c r="P60" s="76">
        <v>1</v>
      </c>
      <c r="Q60" s="76">
        <v>1</v>
      </c>
      <c r="R60" s="76"/>
      <c r="S60" s="77"/>
      <c r="T60" s="192"/>
      <c r="U60" s="192"/>
      <c r="V60" s="192"/>
      <c r="W60" s="192"/>
      <c r="X60" s="192"/>
      <c r="Y60" s="192"/>
      <c r="Z60" s="192"/>
      <c r="AA60" s="192"/>
      <c r="AB60" s="192"/>
      <c r="AC60" s="192"/>
      <c r="AD60" s="192"/>
      <c r="AE60" s="17" t="s">
        <v>232</v>
      </c>
      <c r="AF60" s="17" t="s">
        <v>42</v>
      </c>
    </row>
    <row r="61" spans="1:32" ht="66" x14ac:dyDescent="0.35">
      <c r="A61" s="60">
        <v>1</v>
      </c>
      <c r="B61" s="61" t="s">
        <v>1149</v>
      </c>
      <c r="C61" s="92" t="s">
        <v>1074</v>
      </c>
      <c r="D61" s="61" t="s">
        <v>1152</v>
      </c>
      <c r="E61" s="122" t="s">
        <v>221</v>
      </c>
      <c r="F61" s="101" t="s">
        <v>1142</v>
      </c>
      <c r="G61" s="123" t="s">
        <v>1145</v>
      </c>
      <c r="H61" s="75" t="s">
        <v>233</v>
      </c>
      <c r="I61" s="73" t="s">
        <v>42</v>
      </c>
      <c r="J61" s="74" t="s">
        <v>47</v>
      </c>
      <c r="K61" s="75" t="s">
        <v>102</v>
      </c>
      <c r="L61" s="75" t="s">
        <v>234</v>
      </c>
      <c r="M61" s="75" t="s">
        <v>1515</v>
      </c>
      <c r="N61" s="75"/>
      <c r="O61" s="75"/>
      <c r="P61" s="76">
        <v>1</v>
      </c>
      <c r="Q61" s="76">
        <v>1</v>
      </c>
      <c r="R61" s="76"/>
      <c r="S61" s="77"/>
      <c r="T61" s="192"/>
      <c r="U61" s="192"/>
      <c r="V61" s="192"/>
      <c r="W61" s="192"/>
      <c r="X61" s="192"/>
      <c r="Y61" s="192"/>
      <c r="Z61" s="192"/>
      <c r="AA61" s="192"/>
      <c r="AB61" s="192"/>
      <c r="AC61" s="192"/>
      <c r="AD61" s="192"/>
      <c r="AE61" s="20" t="s">
        <v>235</v>
      </c>
      <c r="AF61" s="17" t="s">
        <v>42</v>
      </c>
    </row>
    <row r="62" spans="1:32" ht="66.599999999999994" thickBot="1" x14ac:dyDescent="0.4">
      <c r="A62" s="60">
        <v>1</v>
      </c>
      <c r="B62" s="61" t="s">
        <v>1149</v>
      </c>
      <c r="C62" s="92" t="s">
        <v>1074</v>
      </c>
      <c r="D62" s="61" t="s">
        <v>1152</v>
      </c>
      <c r="E62" s="122" t="s">
        <v>221</v>
      </c>
      <c r="F62" s="101" t="s">
        <v>1142</v>
      </c>
      <c r="G62" s="123" t="s">
        <v>1146</v>
      </c>
      <c r="H62" s="124" t="s">
        <v>236</v>
      </c>
      <c r="I62" s="125" t="s">
        <v>51</v>
      </c>
      <c r="J62" s="124" t="s">
        <v>70</v>
      </c>
      <c r="K62" s="124" t="s">
        <v>237</v>
      </c>
      <c r="L62" s="124" t="s">
        <v>238</v>
      </c>
      <c r="M62" s="124" t="s">
        <v>1515</v>
      </c>
      <c r="N62" s="124"/>
      <c r="O62" s="124"/>
      <c r="P62" s="126">
        <v>1</v>
      </c>
      <c r="Q62" s="126"/>
      <c r="R62" s="126">
        <v>1</v>
      </c>
      <c r="S62" s="127"/>
      <c r="T62" s="197"/>
      <c r="U62" s="197"/>
      <c r="V62" s="197"/>
      <c r="W62" s="197"/>
      <c r="X62" s="197"/>
      <c r="Y62" s="197"/>
      <c r="Z62" s="197"/>
      <c r="AA62" s="197"/>
      <c r="AB62" s="197"/>
      <c r="AC62" s="197"/>
      <c r="AD62" s="197"/>
      <c r="AE62" s="27" t="s">
        <v>239</v>
      </c>
      <c r="AF62" s="20" t="s">
        <v>70</v>
      </c>
    </row>
    <row r="63" spans="1:32" ht="53.4" thickBot="1" x14ac:dyDescent="0.4">
      <c r="A63" s="60">
        <v>2</v>
      </c>
      <c r="B63" s="61" t="s">
        <v>1153</v>
      </c>
      <c r="C63" s="92" t="s">
        <v>1154</v>
      </c>
      <c r="D63" s="61" t="s">
        <v>1157</v>
      </c>
      <c r="E63" s="128" t="s">
        <v>240</v>
      </c>
      <c r="F63" s="129" t="s">
        <v>241</v>
      </c>
      <c r="G63" s="130" t="s">
        <v>1158</v>
      </c>
      <c r="H63" s="129" t="s">
        <v>242</v>
      </c>
      <c r="I63" s="131" t="s">
        <v>51</v>
      </c>
      <c r="J63" s="132" t="s">
        <v>70</v>
      </c>
      <c r="K63" s="129" t="s">
        <v>243</v>
      </c>
      <c r="L63" s="133" t="s">
        <v>244</v>
      </c>
      <c r="M63" s="69" t="s">
        <v>1516</v>
      </c>
      <c r="N63" s="133"/>
      <c r="O63" s="133"/>
      <c r="P63" s="134">
        <v>1</v>
      </c>
      <c r="Q63" s="134">
        <v>1</v>
      </c>
      <c r="R63" s="134"/>
      <c r="S63" s="135"/>
      <c r="T63" s="198"/>
      <c r="U63" s="198"/>
      <c r="V63" s="198"/>
      <c r="W63" s="198"/>
      <c r="X63" s="198"/>
      <c r="Y63" s="198"/>
      <c r="Z63" s="198"/>
      <c r="AA63" s="198"/>
      <c r="AB63" s="198"/>
      <c r="AC63" s="198"/>
      <c r="AD63" s="198"/>
      <c r="AE63" s="29" t="s">
        <v>245</v>
      </c>
      <c r="AF63" s="28" t="s">
        <v>70</v>
      </c>
    </row>
    <row r="64" spans="1:32" ht="53.4" thickBot="1" x14ac:dyDescent="0.4">
      <c r="A64" s="60">
        <v>2</v>
      </c>
      <c r="B64" s="61" t="s">
        <v>1153</v>
      </c>
      <c r="C64" s="92" t="s">
        <v>1154</v>
      </c>
      <c r="D64" s="61" t="s">
        <v>1157</v>
      </c>
      <c r="E64" s="128" t="s">
        <v>240</v>
      </c>
      <c r="F64" s="129" t="s">
        <v>241</v>
      </c>
      <c r="G64" s="130" t="s">
        <v>1158</v>
      </c>
      <c r="H64" s="129" t="s">
        <v>242</v>
      </c>
      <c r="I64" s="131" t="s">
        <v>51</v>
      </c>
      <c r="J64" s="132" t="s">
        <v>70</v>
      </c>
      <c r="K64" s="129" t="s">
        <v>243</v>
      </c>
      <c r="L64" s="75" t="s">
        <v>246</v>
      </c>
      <c r="M64" s="69" t="s">
        <v>1516</v>
      </c>
      <c r="N64" s="75"/>
      <c r="O64" s="75"/>
      <c r="P64" s="76">
        <v>8</v>
      </c>
      <c r="Q64" s="76"/>
      <c r="R64" s="76">
        <v>3</v>
      </c>
      <c r="S64" s="77">
        <v>5</v>
      </c>
      <c r="T64" s="192"/>
      <c r="U64" s="192"/>
      <c r="V64" s="192"/>
      <c r="W64" s="192"/>
      <c r="X64" s="192"/>
      <c r="Y64" s="192"/>
      <c r="Z64" s="192"/>
      <c r="AA64" s="192"/>
      <c r="AB64" s="192"/>
      <c r="AC64" s="192"/>
      <c r="AD64" s="192"/>
      <c r="AE64" s="17" t="s">
        <v>247</v>
      </c>
      <c r="AF64" s="28" t="s">
        <v>70</v>
      </c>
    </row>
    <row r="65" spans="1:32" ht="53.4" thickBot="1" x14ac:dyDescent="0.4">
      <c r="A65" s="60">
        <v>2</v>
      </c>
      <c r="B65" s="61" t="s">
        <v>1153</v>
      </c>
      <c r="C65" s="92" t="s">
        <v>1154</v>
      </c>
      <c r="D65" s="61" t="s">
        <v>1157</v>
      </c>
      <c r="E65" s="128" t="s">
        <v>240</v>
      </c>
      <c r="F65" s="129" t="s">
        <v>241</v>
      </c>
      <c r="G65" s="130" t="s">
        <v>1159</v>
      </c>
      <c r="H65" s="79" t="s">
        <v>248</v>
      </c>
      <c r="I65" s="80" t="s">
        <v>51</v>
      </c>
      <c r="J65" s="136" t="s">
        <v>70</v>
      </c>
      <c r="K65" s="79" t="s">
        <v>249</v>
      </c>
      <c r="L65" s="75" t="s">
        <v>250</v>
      </c>
      <c r="M65" s="69" t="s">
        <v>1516</v>
      </c>
      <c r="N65" s="75"/>
      <c r="O65" s="75"/>
      <c r="P65" s="76">
        <v>1</v>
      </c>
      <c r="Q65" s="76"/>
      <c r="R65" s="76">
        <v>1</v>
      </c>
      <c r="S65" s="77"/>
      <c r="T65" s="192"/>
      <c r="U65" s="192"/>
      <c r="V65" s="192"/>
      <c r="W65" s="192"/>
      <c r="X65" s="192"/>
      <c r="Y65" s="192"/>
      <c r="Z65" s="192"/>
      <c r="AA65" s="192"/>
      <c r="AB65" s="192"/>
      <c r="AC65" s="192"/>
      <c r="AD65" s="192"/>
      <c r="AE65" s="20" t="s">
        <v>251</v>
      </c>
      <c r="AF65" s="28" t="s">
        <v>70</v>
      </c>
    </row>
    <row r="66" spans="1:32" ht="53.4" thickBot="1" x14ac:dyDescent="0.4">
      <c r="A66" s="60">
        <v>2</v>
      </c>
      <c r="B66" s="61" t="s">
        <v>1153</v>
      </c>
      <c r="C66" s="92" t="s">
        <v>1154</v>
      </c>
      <c r="D66" s="61" t="s">
        <v>1157</v>
      </c>
      <c r="E66" s="128" t="s">
        <v>240</v>
      </c>
      <c r="F66" s="129" t="s">
        <v>241</v>
      </c>
      <c r="G66" s="130" t="s">
        <v>1159</v>
      </c>
      <c r="H66" s="79" t="s">
        <v>248</v>
      </c>
      <c r="I66" s="80" t="s">
        <v>51</v>
      </c>
      <c r="J66" s="136" t="s">
        <v>70</v>
      </c>
      <c r="K66" s="79" t="s">
        <v>249</v>
      </c>
      <c r="L66" s="75" t="s">
        <v>252</v>
      </c>
      <c r="M66" s="69" t="s">
        <v>1516</v>
      </c>
      <c r="N66" s="75"/>
      <c r="O66" s="75"/>
      <c r="P66" s="76">
        <v>1</v>
      </c>
      <c r="Q66" s="76"/>
      <c r="R66" s="76">
        <v>1</v>
      </c>
      <c r="S66" s="77"/>
      <c r="T66" s="192"/>
      <c r="U66" s="192"/>
      <c r="V66" s="192"/>
      <c r="W66" s="192"/>
      <c r="X66" s="192"/>
      <c r="Y66" s="192"/>
      <c r="Z66" s="192"/>
      <c r="AA66" s="192"/>
      <c r="AB66" s="192"/>
      <c r="AC66" s="192"/>
      <c r="AD66" s="192"/>
      <c r="AE66" s="20" t="s">
        <v>253</v>
      </c>
      <c r="AF66" s="28" t="s">
        <v>70</v>
      </c>
    </row>
    <row r="67" spans="1:32" ht="53.4" thickBot="1" x14ac:dyDescent="0.4">
      <c r="A67" s="60">
        <v>2</v>
      </c>
      <c r="B67" s="61" t="s">
        <v>1153</v>
      </c>
      <c r="C67" s="92" t="s">
        <v>1154</v>
      </c>
      <c r="D67" s="61" t="s">
        <v>1157</v>
      </c>
      <c r="E67" s="128" t="s">
        <v>240</v>
      </c>
      <c r="F67" s="129" t="s">
        <v>241</v>
      </c>
      <c r="G67" s="130" t="s">
        <v>1159</v>
      </c>
      <c r="H67" s="79" t="s">
        <v>248</v>
      </c>
      <c r="I67" s="80" t="s">
        <v>51</v>
      </c>
      <c r="J67" s="136" t="s">
        <v>70</v>
      </c>
      <c r="K67" s="79" t="s">
        <v>249</v>
      </c>
      <c r="L67" s="75" t="s">
        <v>254</v>
      </c>
      <c r="M67" s="69" t="s">
        <v>1516</v>
      </c>
      <c r="N67" s="75"/>
      <c r="O67" s="75"/>
      <c r="P67" s="76">
        <v>1</v>
      </c>
      <c r="Q67" s="76"/>
      <c r="R67" s="76">
        <v>1</v>
      </c>
      <c r="S67" s="77"/>
      <c r="T67" s="192"/>
      <c r="U67" s="192"/>
      <c r="V67" s="192"/>
      <c r="W67" s="192"/>
      <c r="X67" s="192"/>
      <c r="Y67" s="192"/>
      <c r="Z67" s="192"/>
      <c r="AA67" s="192"/>
      <c r="AB67" s="192"/>
      <c r="AC67" s="192"/>
      <c r="AD67" s="192"/>
      <c r="AE67" s="20" t="s">
        <v>255</v>
      </c>
      <c r="AF67" s="28" t="s">
        <v>70</v>
      </c>
    </row>
    <row r="68" spans="1:32" ht="53.4" thickBot="1" x14ac:dyDescent="0.4">
      <c r="A68" s="60">
        <v>2</v>
      </c>
      <c r="B68" s="61" t="s">
        <v>1153</v>
      </c>
      <c r="C68" s="92" t="s">
        <v>1154</v>
      </c>
      <c r="D68" s="61" t="s">
        <v>1157</v>
      </c>
      <c r="E68" s="128" t="s">
        <v>240</v>
      </c>
      <c r="F68" s="129" t="s">
        <v>241</v>
      </c>
      <c r="G68" s="130" t="s">
        <v>1159</v>
      </c>
      <c r="H68" s="79" t="s">
        <v>248</v>
      </c>
      <c r="I68" s="80" t="s">
        <v>51</v>
      </c>
      <c r="J68" s="136" t="s">
        <v>70</v>
      </c>
      <c r="K68" s="79" t="s">
        <v>249</v>
      </c>
      <c r="L68" s="75" t="s">
        <v>256</v>
      </c>
      <c r="M68" s="69" t="s">
        <v>1516</v>
      </c>
      <c r="N68" s="75"/>
      <c r="O68" s="75"/>
      <c r="P68" s="76">
        <v>1</v>
      </c>
      <c r="Q68" s="76"/>
      <c r="R68" s="76">
        <v>1</v>
      </c>
      <c r="S68" s="77"/>
      <c r="T68" s="192"/>
      <c r="U68" s="192"/>
      <c r="V68" s="192"/>
      <c r="W68" s="192"/>
      <c r="X68" s="192"/>
      <c r="Y68" s="192"/>
      <c r="Z68" s="192"/>
      <c r="AA68" s="192"/>
      <c r="AB68" s="192"/>
      <c r="AC68" s="192"/>
      <c r="AD68" s="192"/>
      <c r="AE68" s="20" t="s">
        <v>257</v>
      </c>
      <c r="AF68" s="28" t="s">
        <v>70</v>
      </c>
    </row>
    <row r="69" spans="1:32" ht="52.8" x14ac:dyDescent="0.35">
      <c r="A69" s="60">
        <v>2</v>
      </c>
      <c r="B69" s="61" t="s">
        <v>1153</v>
      </c>
      <c r="C69" s="92" t="s">
        <v>1154</v>
      </c>
      <c r="D69" s="61" t="s">
        <v>1157</v>
      </c>
      <c r="E69" s="128" t="s">
        <v>240</v>
      </c>
      <c r="F69" s="129" t="s">
        <v>241</v>
      </c>
      <c r="G69" s="130" t="s">
        <v>1160</v>
      </c>
      <c r="H69" s="81" t="s">
        <v>258</v>
      </c>
      <c r="I69" s="74" t="s">
        <v>51</v>
      </c>
      <c r="J69" s="137" t="s">
        <v>70</v>
      </c>
      <c r="K69" s="81" t="s">
        <v>259</v>
      </c>
      <c r="L69" s="81" t="s">
        <v>260</v>
      </c>
      <c r="M69" s="69" t="s">
        <v>1516</v>
      </c>
      <c r="N69" s="81"/>
      <c r="O69" s="81"/>
      <c r="P69" s="82">
        <v>1</v>
      </c>
      <c r="Q69" s="82"/>
      <c r="R69" s="82">
        <v>1</v>
      </c>
      <c r="S69" s="83"/>
      <c r="T69" s="193"/>
      <c r="U69" s="193"/>
      <c r="V69" s="193"/>
      <c r="W69" s="193"/>
      <c r="X69" s="193"/>
      <c r="Y69" s="193"/>
      <c r="Z69" s="193"/>
      <c r="AA69" s="193"/>
      <c r="AB69" s="193"/>
      <c r="AC69" s="193"/>
      <c r="AD69" s="193"/>
      <c r="AE69" s="22" t="s">
        <v>261</v>
      </c>
      <c r="AF69" s="28" t="s">
        <v>70</v>
      </c>
    </row>
    <row r="70" spans="1:32" ht="40.200000000000003" thickBot="1" x14ac:dyDescent="0.4">
      <c r="A70" s="60">
        <v>2</v>
      </c>
      <c r="B70" s="61" t="s">
        <v>1153</v>
      </c>
      <c r="C70" s="92" t="s">
        <v>1154</v>
      </c>
      <c r="D70" s="61" t="s">
        <v>1157</v>
      </c>
      <c r="E70" s="138" t="s">
        <v>262</v>
      </c>
      <c r="F70" s="79" t="s">
        <v>263</v>
      </c>
      <c r="G70" s="102" t="s">
        <v>1161</v>
      </c>
      <c r="H70" s="81" t="s">
        <v>264</v>
      </c>
      <c r="I70" s="74" t="s">
        <v>86</v>
      </c>
      <c r="J70" s="75" t="s">
        <v>87</v>
      </c>
      <c r="K70" s="75" t="s">
        <v>51</v>
      </c>
      <c r="L70" s="75" t="s">
        <v>265</v>
      </c>
      <c r="M70" s="75" t="s">
        <v>1515</v>
      </c>
      <c r="N70" s="75"/>
      <c r="O70" s="75"/>
      <c r="P70" s="76">
        <v>1</v>
      </c>
      <c r="Q70" s="76">
        <v>1</v>
      </c>
      <c r="R70" s="76"/>
      <c r="S70" s="77"/>
      <c r="T70" s="192"/>
      <c r="U70" s="192"/>
      <c r="V70" s="192"/>
      <c r="W70" s="192"/>
      <c r="X70" s="192"/>
      <c r="Y70" s="192"/>
      <c r="Z70" s="192"/>
      <c r="AA70" s="192"/>
      <c r="AB70" s="192"/>
      <c r="AC70" s="192"/>
      <c r="AD70" s="192"/>
      <c r="AE70" s="17" t="s">
        <v>266</v>
      </c>
      <c r="AF70" s="17" t="s">
        <v>87</v>
      </c>
    </row>
    <row r="71" spans="1:32" ht="40.200000000000003" thickBot="1" x14ac:dyDescent="0.4">
      <c r="A71" s="60">
        <v>2</v>
      </c>
      <c r="B71" s="61" t="s">
        <v>1153</v>
      </c>
      <c r="C71" s="92" t="s">
        <v>1154</v>
      </c>
      <c r="D71" s="61" t="s">
        <v>1157</v>
      </c>
      <c r="E71" s="138" t="s">
        <v>262</v>
      </c>
      <c r="F71" s="79" t="s">
        <v>263</v>
      </c>
      <c r="G71" s="102" t="s">
        <v>1162</v>
      </c>
      <c r="H71" s="74" t="s">
        <v>267</v>
      </c>
      <c r="I71" s="74" t="s">
        <v>51</v>
      </c>
      <c r="J71" s="137" t="s">
        <v>70</v>
      </c>
      <c r="K71" s="75" t="s">
        <v>44</v>
      </c>
      <c r="L71" s="75" t="s">
        <v>268</v>
      </c>
      <c r="M71" s="75" t="s">
        <v>1515</v>
      </c>
      <c r="N71" s="75"/>
      <c r="O71" s="75"/>
      <c r="P71" s="76">
        <v>9</v>
      </c>
      <c r="Q71" s="76">
        <v>1</v>
      </c>
      <c r="R71" s="76">
        <v>3</v>
      </c>
      <c r="S71" s="77">
        <v>5</v>
      </c>
      <c r="T71" s="192"/>
      <c r="U71" s="192"/>
      <c r="V71" s="192"/>
      <c r="W71" s="192"/>
      <c r="X71" s="192"/>
      <c r="Y71" s="192"/>
      <c r="Z71" s="192"/>
      <c r="AA71" s="192"/>
      <c r="AB71" s="192"/>
      <c r="AC71" s="192"/>
      <c r="AD71" s="192"/>
      <c r="AE71" s="20" t="s">
        <v>269</v>
      </c>
      <c r="AF71" s="28" t="s">
        <v>70</v>
      </c>
    </row>
    <row r="72" spans="1:32" ht="39.6" x14ac:dyDescent="0.35">
      <c r="A72" s="60">
        <v>2</v>
      </c>
      <c r="B72" s="61" t="s">
        <v>1153</v>
      </c>
      <c r="C72" s="92" t="s">
        <v>1154</v>
      </c>
      <c r="D72" s="61" t="s">
        <v>1157</v>
      </c>
      <c r="E72" s="138" t="s">
        <v>262</v>
      </c>
      <c r="F72" s="79" t="s">
        <v>263</v>
      </c>
      <c r="G72" s="102" t="s">
        <v>1163</v>
      </c>
      <c r="H72" s="75" t="s">
        <v>270</v>
      </c>
      <c r="I72" s="74" t="s">
        <v>51</v>
      </c>
      <c r="J72" s="137" t="s">
        <v>70</v>
      </c>
      <c r="K72" s="75" t="s">
        <v>44</v>
      </c>
      <c r="L72" s="75" t="s">
        <v>56</v>
      </c>
      <c r="M72" s="75" t="s">
        <v>1515</v>
      </c>
      <c r="N72" s="75"/>
      <c r="O72" s="75"/>
      <c r="P72" s="76">
        <v>44</v>
      </c>
      <c r="Q72" s="76">
        <v>12</v>
      </c>
      <c r="R72" s="76">
        <v>12</v>
      </c>
      <c r="S72" s="77">
        <v>20</v>
      </c>
      <c r="T72" s="192"/>
      <c r="U72" s="192"/>
      <c r="V72" s="192"/>
      <c r="W72" s="192"/>
      <c r="X72" s="192"/>
      <c r="Y72" s="192"/>
      <c r="Z72" s="192"/>
      <c r="AA72" s="192"/>
      <c r="AB72" s="192"/>
      <c r="AC72" s="192"/>
      <c r="AD72" s="192"/>
      <c r="AE72" s="17" t="s">
        <v>271</v>
      </c>
      <c r="AF72" s="28" t="s">
        <v>70</v>
      </c>
    </row>
    <row r="73" spans="1:32" ht="39.6" x14ac:dyDescent="0.35">
      <c r="A73" s="60">
        <v>2</v>
      </c>
      <c r="B73" s="61" t="s">
        <v>1153</v>
      </c>
      <c r="C73" s="92" t="s">
        <v>1154</v>
      </c>
      <c r="D73" s="61" t="s">
        <v>1157</v>
      </c>
      <c r="E73" s="138" t="s">
        <v>272</v>
      </c>
      <c r="F73" s="79" t="s">
        <v>273</v>
      </c>
      <c r="G73" s="102" t="s">
        <v>1164</v>
      </c>
      <c r="H73" s="75" t="s">
        <v>274</v>
      </c>
      <c r="I73" s="74" t="s">
        <v>51</v>
      </c>
      <c r="J73" s="137" t="s">
        <v>70</v>
      </c>
      <c r="K73" s="75" t="s">
        <v>275</v>
      </c>
      <c r="L73" s="75" t="s">
        <v>276</v>
      </c>
      <c r="M73" s="75" t="s">
        <v>1515</v>
      </c>
      <c r="N73" s="75"/>
      <c r="O73" s="75"/>
      <c r="P73" s="88">
        <v>1</v>
      </c>
      <c r="Q73" s="88">
        <v>1</v>
      </c>
      <c r="R73" s="76"/>
      <c r="S73" s="77"/>
      <c r="T73" s="192"/>
      <c r="U73" s="192"/>
      <c r="V73" s="192"/>
      <c r="W73" s="192"/>
      <c r="X73" s="192"/>
      <c r="Y73" s="192"/>
      <c r="Z73" s="192"/>
      <c r="AA73" s="192"/>
      <c r="AB73" s="192"/>
      <c r="AC73" s="192"/>
      <c r="AD73" s="192"/>
      <c r="AE73" s="20" t="s">
        <v>277</v>
      </c>
      <c r="AF73" s="30" t="s">
        <v>70</v>
      </c>
    </row>
    <row r="74" spans="1:32" ht="39.6" x14ac:dyDescent="0.35">
      <c r="A74" s="60">
        <v>2</v>
      </c>
      <c r="B74" s="61" t="s">
        <v>1153</v>
      </c>
      <c r="C74" s="92" t="s">
        <v>1154</v>
      </c>
      <c r="D74" s="61" t="s">
        <v>1157</v>
      </c>
      <c r="E74" s="138" t="s">
        <v>272</v>
      </c>
      <c r="F74" s="79" t="s">
        <v>273</v>
      </c>
      <c r="G74" s="102" t="s">
        <v>1165</v>
      </c>
      <c r="H74" s="75" t="s">
        <v>278</v>
      </c>
      <c r="I74" s="74" t="s">
        <v>51</v>
      </c>
      <c r="J74" s="137" t="s">
        <v>70</v>
      </c>
      <c r="K74" s="75" t="s">
        <v>44</v>
      </c>
      <c r="L74" s="75" t="s">
        <v>279</v>
      </c>
      <c r="M74" s="75" t="s">
        <v>1515</v>
      </c>
      <c r="N74" s="75"/>
      <c r="O74" s="75"/>
      <c r="P74" s="88">
        <v>1</v>
      </c>
      <c r="Q74" s="88">
        <v>1</v>
      </c>
      <c r="R74" s="76"/>
      <c r="S74" s="77"/>
      <c r="T74" s="192"/>
      <c r="U74" s="192"/>
      <c r="V74" s="192"/>
      <c r="W74" s="192"/>
      <c r="X74" s="192"/>
      <c r="Y74" s="192"/>
      <c r="Z74" s="192"/>
      <c r="AA74" s="192"/>
      <c r="AB74" s="192"/>
      <c r="AC74" s="192"/>
      <c r="AD74" s="192"/>
      <c r="AE74" s="17" t="s">
        <v>280</v>
      </c>
      <c r="AF74" s="30" t="s">
        <v>70</v>
      </c>
    </row>
    <row r="75" spans="1:32" ht="39.6" x14ac:dyDescent="0.35">
      <c r="A75" s="60">
        <v>2</v>
      </c>
      <c r="B75" s="61" t="s">
        <v>1153</v>
      </c>
      <c r="C75" s="92" t="s">
        <v>1154</v>
      </c>
      <c r="D75" s="61" t="s">
        <v>1157</v>
      </c>
      <c r="E75" s="138" t="s">
        <v>272</v>
      </c>
      <c r="F75" s="79" t="s">
        <v>273</v>
      </c>
      <c r="G75" s="102" t="s">
        <v>1166</v>
      </c>
      <c r="H75" s="81" t="s">
        <v>281</v>
      </c>
      <c r="I75" s="74" t="s">
        <v>51</v>
      </c>
      <c r="J75" s="137" t="s">
        <v>70</v>
      </c>
      <c r="K75" s="75" t="s">
        <v>116</v>
      </c>
      <c r="L75" s="75" t="s">
        <v>1138</v>
      </c>
      <c r="M75" s="75" t="s">
        <v>1515</v>
      </c>
      <c r="N75" s="75"/>
      <c r="O75" s="75"/>
      <c r="P75" s="76">
        <v>1</v>
      </c>
      <c r="Q75" s="139"/>
      <c r="R75" s="139"/>
      <c r="S75" s="77">
        <v>1</v>
      </c>
      <c r="T75" s="192"/>
      <c r="U75" s="192"/>
      <c r="V75" s="192"/>
      <c r="W75" s="192"/>
      <c r="X75" s="192"/>
      <c r="Y75" s="192"/>
      <c r="Z75" s="192"/>
      <c r="AA75" s="192"/>
      <c r="AB75" s="192"/>
      <c r="AC75" s="192"/>
      <c r="AD75" s="192"/>
      <c r="AE75" s="20" t="s">
        <v>282</v>
      </c>
      <c r="AF75" s="30" t="s">
        <v>70</v>
      </c>
    </row>
    <row r="76" spans="1:32" ht="52.8" x14ac:dyDescent="0.35">
      <c r="A76" s="60">
        <v>2</v>
      </c>
      <c r="B76" s="61" t="s">
        <v>1153</v>
      </c>
      <c r="C76" s="92" t="s">
        <v>1154</v>
      </c>
      <c r="D76" s="61" t="s">
        <v>1157</v>
      </c>
      <c r="E76" s="138" t="s">
        <v>283</v>
      </c>
      <c r="F76" s="79" t="s">
        <v>284</v>
      </c>
      <c r="G76" s="102" t="s">
        <v>1167</v>
      </c>
      <c r="H76" s="75" t="s">
        <v>285</v>
      </c>
      <c r="I76" s="74" t="s">
        <v>51</v>
      </c>
      <c r="J76" s="137" t="s">
        <v>70</v>
      </c>
      <c r="K76" s="75" t="s">
        <v>286</v>
      </c>
      <c r="L76" s="75" t="s">
        <v>287</v>
      </c>
      <c r="M76" s="75" t="s">
        <v>1515</v>
      </c>
      <c r="N76" s="75"/>
      <c r="O76" s="75"/>
      <c r="P76" s="76">
        <v>1</v>
      </c>
      <c r="Q76" s="76"/>
      <c r="R76" s="76"/>
      <c r="S76" s="77"/>
      <c r="T76" s="192"/>
      <c r="U76" s="192"/>
      <c r="V76" s="192"/>
      <c r="W76" s="192"/>
      <c r="X76" s="192"/>
      <c r="Y76" s="192"/>
      <c r="Z76" s="192"/>
      <c r="AA76" s="192"/>
      <c r="AB76" s="192"/>
      <c r="AC76" s="192"/>
      <c r="AD76" s="192"/>
      <c r="AE76" s="17" t="s">
        <v>288</v>
      </c>
      <c r="AF76" s="30" t="s">
        <v>70</v>
      </c>
    </row>
    <row r="77" spans="1:32" ht="52.8" x14ac:dyDescent="0.35">
      <c r="A77" s="60">
        <v>2</v>
      </c>
      <c r="B77" s="61" t="s">
        <v>1153</v>
      </c>
      <c r="C77" s="92" t="s">
        <v>1154</v>
      </c>
      <c r="D77" s="61" t="s">
        <v>1157</v>
      </c>
      <c r="E77" s="138" t="s">
        <v>283</v>
      </c>
      <c r="F77" s="79" t="s">
        <v>284</v>
      </c>
      <c r="G77" s="102" t="s">
        <v>1168</v>
      </c>
      <c r="H77" s="75" t="s">
        <v>1170</v>
      </c>
      <c r="I77" s="74" t="s">
        <v>51</v>
      </c>
      <c r="J77" s="137" t="s">
        <v>70</v>
      </c>
      <c r="K77" s="75" t="s">
        <v>286</v>
      </c>
      <c r="L77" s="75" t="s">
        <v>289</v>
      </c>
      <c r="M77" s="75" t="s">
        <v>1515</v>
      </c>
      <c r="N77" s="75"/>
      <c r="O77" s="75"/>
      <c r="P77" s="88">
        <v>1</v>
      </c>
      <c r="Q77" s="88">
        <v>1</v>
      </c>
      <c r="R77" s="76"/>
      <c r="S77" s="77"/>
      <c r="T77" s="192"/>
      <c r="U77" s="192"/>
      <c r="V77" s="192"/>
      <c r="W77" s="192"/>
      <c r="X77" s="192"/>
      <c r="Y77" s="192"/>
      <c r="Z77" s="192"/>
      <c r="AA77" s="192"/>
      <c r="AB77" s="192"/>
      <c r="AC77" s="192"/>
      <c r="AD77" s="192"/>
      <c r="AE77" s="20" t="s">
        <v>290</v>
      </c>
      <c r="AF77" s="30" t="s">
        <v>70</v>
      </c>
    </row>
    <row r="78" spans="1:32" ht="52.8" x14ac:dyDescent="0.35">
      <c r="A78" s="60">
        <v>2</v>
      </c>
      <c r="B78" s="61" t="s">
        <v>1153</v>
      </c>
      <c r="C78" s="92" t="s">
        <v>1154</v>
      </c>
      <c r="D78" s="61" t="s">
        <v>1157</v>
      </c>
      <c r="E78" s="138" t="s">
        <v>283</v>
      </c>
      <c r="F78" s="79" t="s">
        <v>284</v>
      </c>
      <c r="G78" s="102" t="s">
        <v>1169</v>
      </c>
      <c r="H78" s="81" t="s">
        <v>1171</v>
      </c>
      <c r="I78" s="74" t="s">
        <v>51</v>
      </c>
      <c r="J78" s="137" t="s">
        <v>70</v>
      </c>
      <c r="K78" s="75" t="s">
        <v>286</v>
      </c>
      <c r="L78" s="75" t="s">
        <v>291</v>
      </c>
      <c r="M78" s="75" t="s">
        <v>1515</v>
      </c>
      <c r="N78" s="75"/>
      <c r="O78" s="75"/>
      <c r="P78" s="76">
        <v>1</v>
      </c>
      <c r="Q78" s="76">
        <v>1</v>
      </c>
      <c r="R78" s="76"/>
      <c r="S78" s="77"/>
      <c r="T78" s="192"/>
      <c r="U78" s="192"/>
      <c r="V78" s="192"/>
      <c r="W78" s="192"/>
      <c r="X78" s="192"/>
      <c r="Y78" s="192"/>
      <c r="Z78" s="192"/>
      <c r="AA78" s="192"/>
      <c r="AB78" s="192"/>
      <c r="AC78" s="192"/>
      <c r="AD78" s="192"/>
      <c r="AE78" s="17" t="s">
        <v>291</v>
      </c>
      <c r="AF78" s="30" t="s">
        <v>70</v>
      </c>
    </row>
    <row r="79" spans="1:32" ht="66" x14ac:dyDescent="0.35">
      <c r="A79" s="60">
        <v>2</v>
      </c>
      <c r="B79" s="61" t="s">
        <v>1153</v>
      </c>
      <c r="C79" s="92" t="s">
        <v>1154</v>
      </c>
      <c r="D79" s="61" t="s">
        <v>1157</v>
      </c>
      <c r="E79" s="138" t="s">
        <v>283</v>
      </c>
      <c r="F79" s="79" t="s">
        <v>284</v>
      </c>
      <c r="G79" s="102" t="s">
        <v>1172</v>
      </c>
      <c r="H79" s="75" t="s">
        <v>1174</v>
      </c>
      <c r="I79" s="74" t="s">
        <v>51</v>
      </c>
      <c r="J79" s="137" t="s">
        <v>70</v>
      </c>
      <c r="K79" s="75" t="s">
        <v>292</v>
      </c>
      <c r="L79" s="75" t="s">
        <v>293</v>
      </c>
      <c r="M79" s="75" t="s">
        <v>1515</v>
      </c>
      <c r="N79" s="75"/>
      <c r="O79" s="75"/>
      <c r="P79" s="76">
        <v>1</v>
      </c>
      <c r="Q79" s="76">
        <v>1</v>
      </c>
      <c r="R79" s="76"/>
      <c r="S79" s="77"/>
      <c r="T79" s="192"/>
      <c r="U79" s="192"/>
      <c r="V79" s="192"/>
      <c r="W79" s="192"/>
      <c r="X79" s="192"/>
      <c r="Y79" s="192"/>
      <c r="Z79" s="192"/>
      <c r="AA79" s="192"/>
      <c r="AB79" s="192"/>
      <c r="AC79" s="192"/>
      <c r="AD79" s="192"/>
      <c r="AE79" s="20" t="s">
        <v>294</v>
      </c>
      <c r="AF79" s="30" t="s">
        <v>70</v>
      </c>
    </row>
    <row r="80" spans="1:32" ht="52.8" x14ac:dyDescent="0.35">
      <c r="A80" s="60">
        <v>2</v>
      </c>
      <c r="B80" s="61" t="s">
        <v>1153</v>
      </c>
      <c r="C80" s="92" t="s">
        <v>1154</v>
      </c>
      <c r="D80" s="61" t="s">
        <v>1157</v>
      </c>
      <c r="E80" s="138" t="s">
        <v>283</v>
      </c>
      <c r="F80" s="79" t="s">
        <v>284</v>
      </c>
      <c r="G80" s="102" t="s">
        <v>1173</v>
      </c>
      <c r="H80" s="81" t="s">
        <v>295</v>
      </c>
      <c r="I80" s="74" t="s">
        <v>296</v>
      </c>
      <c r="J80" s="137" t="s">
        <v>297</v>
      </c>
      <c r="K80" s="75" t="s">
        <v>62</v>
      </c>
      <c r="L80" s="75" t="s">
        <v>298</v>
      </c>
      <c r="M80" s="75" t="s">
        <v>1515</v>
      </c>
      <c r="N80" s="75"/>
      <c r="O80" s="75"/>
      <c r="P80" s="76">
        <v>1</v>
      </c>
      <c r="Q80" s="76">
        <v>1</v>
      </c>
      <c r="R80" s="76"/>
      <c r="S80" s="77"/>
      <c r="T80" s="192"/>
      <c r="U80" s="192"/>
      <c r="V80" s="192"/>
      <c r="W80" s="192"/>
      <c r="X80" s="192"/>
      <c r="Y80" s="192"/>
      <c r="Z80" s="192"/>
      <c r="AA80" s="192"/>
      <c r="AB80" s="192"/>
      <c r="AC80" s="192"/>
      <c r="AD80" s="192"/>
      <c r="AE80" s="17" t="s">
        <v>299</v>
      </c>
      <c r="AF80" s="17" t="s">
        <v>300</v>
      </c>
    </row>
    <row r="81" spans="1:32" ht="39.6" x14ac:dyDescent="0.35">
      <c r="A81" s="60">
        <v>2</v>
      </c>
      <c r="B81" s="61" t="s">
        <v>1153</v>
      </c>
      <c r="C81" s="92" t="s">
        <v>1154</v>
      </c>
      <c r="D81" s="61" t="s">
        <v>1157</v>
      </c>
      <c r="E81" s="138" t="s">
        <v>301</v>
      </c>
      <c r="F81" s="79" t="s">
        <v>302</v>
      </c>
      <c r="G81" s="102" t="s">
        <v>1175</v>
      </c>
      <c r="H81" s="75" t="s">
        <v>303</v>
      </c>
      <c r="I81" s="74" t="s">
        <v>304</v>
      </c>
      <c r="J81" s="137" t="s">
        <v>305</v>
      </c>
      <c r="K81" s="81" t="s">
        <v>306</v>
      </c>
      <c r="L81" s="81" t="s">
        <v>307</v>
      </c>
      <c r="M81" s="69" t="s">
        <v>1516</v>
      </c>
      <c r="N81" s="81"/>
      <c r="O81" s="81"/>
      <c r="P81" s="82">
        <v>1</v>
      </c>
      <c r="Q81" s="82">
        <v>1</v>
      </c>
      <c r="R81" s="82"/>
      <c r="S81" s="83"/>
      <c r="T81" s="193"/>
      <c r="U81" s="193"/>
      <c r="V81" s="193"/>
      <c r="W81" s="193"/>
      <c r="X81" s="193"/>
      <c r="Y81" s="193"/>
      <c r="Z81" s="193"/>
      <c r="AA81" s="193"/>
      <c r="AB81" s="193"/>
      <c r="AC81" s="193"/>
      <c r="AD81" s="193"/>
      <c r="AE81" s="22" t="s">
        <v>308</v>
      </c>
      <c r="AF81" s="22" t="s">
        <v>51</v>
      </c>
    </row>
    <row r="82" spans="1:32" ht="39.6" x14ac:dyDescent="0.35">
      <c r="A82" s="60">
        <v>2</v>
      </c>
      <c r="B82" s="61" t="s">
        <v>1153</v>
      </c>
      <c r="C82" s="92" t="s">
        <v>1154</v>
      </c>
      <c r="D82" s="61" t="s">
        <v>1157</v>
      </c>
      <c r="E82" s="138" t="s">
        <v>301</v>
      </c>
      <c r="F82" s="79" t="s">
        <v>302</v>
      </c>
      <c r="G82" s="102" t="s">
        <v>1176</v>
      </c>
      <c r="H82" s="81" t="s">
        <v>309</v>
      </c>
      <c r="I82" s="74" t="s">
        <v>304</v>
      </c>
      <c r="J82" s="137" t="s">
        <v>305</v>
      </c>
      <c r="K82" s="81" t="s">
        <v>306</v>
      </c>
      <c r="L82" s="81" t="s">
        <v>310</v>
      </c>
      <c r="M82" s="69" t="s">
        <v>1516</v>
      </c>
      <c r="N82" s="81"/>
      <c r="O82" s="81"/>
      <c r="P82" s="82">
        <v>1</v>
      </c>
      <c r="Q82" s="82"/>
      <c r="R82" s="82">
        <v>1</v>
      </c>
      <c r="S82" s="83"/>
      <c r="T82" s="193"/>
      <c r="U82" s="193"/>
      <c r="V82" s="193"/>
      <c r="W82" s="193"/>
      <c r="X82" s="193"/>
      <c r="Y82" s="193"/>
      <c r="Z82" s="193"/>
      <c r="AA82" s="193"/>
      <c r="AB82" s="193"/>
      <c r="AC82" s="193"/>
      <c r="AD82" s="193"/>
      <c r="AE82" s="23" t="s">
        <v>310</v>
      </c>
      <c r="AF82" s="22" t="s">
        <v>51</v>
      </c>
    </row>
    <row r="83" spans="1:32" ht="39.6" x14ac:dyDescent="0.35">
      <c r="A83" s="60">
        <v>2</v>
      </c>
      <c r="B83" s="61" t="s">
        <v>1153</v>
      </c>
      <c r="C83" s="92" t="s">
        <v>1154</v>
      </c>
      <c r="D83" s="61" t="s">
        <v>1157</v>
      </c>
      <c r="E83" s="138" t="s">
        <v>301</v>
      </c>
      <c r="F83" s="79" t="s">
        <v>302</v>
      </c>
      <c r="G83" s="102" t="s">
        <v>1177</v>
      </c>
      <c r="H83" s="75" t="s">
        <v>311</v>
      </c>
      <c r="I83" s="74" t="s">
        <v>304</v>
      </c>
      <c r="J83" s="137" t="s">
        <v>305</v>
      </c>
      <c r="K83" s="81" t="s">
        <v>306</v>
      </c>
      <c r="L83" s="81" t="s">
        <v>312</v>
      </c>
      <c r="M83" s="69" t="s">
        <v>1516</v>
      </c>
      <c r="N83" s="81"/>
      <c r="O83" s="81"/>
      <c r="P83" s="82">
        <v>8</v>
      </c>
      <c r="Q83" s="82"/>
      <c r="R83" s="82">
        <v>3</v>
      </c>
      <c r="S83" s="83">
        <v>5</v>
      </c>
      <c r="T83" s="193"/>
      <c r="U83" s="193"/>
      <c r="V83" s="193"/>
      <c r="W83" s="193"/>
      <c r="X83" s="193"/>
      <c r="Y83" s="193"/>
      <c r="Z83" s="193"/>
      <c r="AA83" s="193"/>
      <c r="AB83" s="193"/>
      <c r="AC83" s="193"/>
      <c r="AD83" s="193"/>
      <c r="AE83" s="22" t="s">
        <v>313</v>
      </c>
      <c r="AF83" s="22" t="s">
        <v>51</v>
      </c>
    </row>
    <row r="84" spans="1:32" ht="71.25" customHeight="1" x14ac:dyDescent="0.35">
      <c r="A84" s="60">
        <v>2</v>
      </c>
      <c r="B84" s="61" t="s">
        <v>1153</v>
      </c>
      <c r="C84" s="92" t="s">
        <v>1155</v>
      </c>
      <c r="D84" s="61" t="s">
        <v>1178</v>
      </c>
      <c r="E84" s="138" t="s">
        <v>314</v>
      </c>
      <c r="F84" s="79" t="s">
        <v>315</v>
      </c>
      <c r="G84" s="102" t="s">
        <v>1179</v>
      </c>
      <c r="H84" s="75" t="s">
        <v>316</v>
      </c>
      <c r="I84" s="74" t="s">
        <v>51</v>
      </c>
      <c r="J84" s="137" t="s">
        <v>70</v>
      </c>
      <c r="K84" s="75"/>
      <c r="L84" s="75" t="s">
        <v>317</v>
      </c>
      <c r="M84" s="75" t="s">
        <v>1515</v>
      </c>
      <c r="N84" s="75"/>
      <c r="O84" s="75"/>
      <c r="P84" s="88">
        <v>1</v>
      </c>
      <c r="Q84" s="88">
        <v>1</v>
      </c>
      <c r="R84" s="76"/>
      <c r="S84" s="77"/>
      <c r="T84" s="192"/>
      <c r="U84" s="192"/>
      <c r="V84" s="192"/>
      <c r="W84" s="192"/>
      <c r="X84" s="192"/>
      <c r="Y84" s="192"/>
      <c r="Z84" s="192"/>
      <c r="AA84" s="192"/>
      <c r="AB84" s="192"/>
      <c r="AC84" s="192"/>
      <c r="AD84" s="192"/>
      <c r="AE84" s="22" t="s">
        <v>318</v>
      </c>
      <c r="AF84" s="31" t="s">
        <v>70</v>
      </c>
    </row>
    <row r="85" spans="1:32" ht="52.8" x14ac:dyDescent="0.35">
      <c r="A85" s="60">
        <v>2</v>
      </c>
      <c r="B85" s="61" t="s">
        <v>1153</v>
      </c>
      <c r="C85" s="92" t="s">
        <v>1155</v>
      </c>
      <c r="D85" s="61" t="s">
        <v>1178</v>
      </c>
      <c r="E85" s="138" t="s">
        <v>314</v>
      </c>
      <c r="F85" s="79" t="s">
        <v>315</v>
      </c>
      <c r="G85" s="102" t="s">
        <v>1180</v>
      </c>
      <c r="H85" s="75" t="s">
        <v>319</v>
      </c>
      <c r="I85" s="74" t="s">
        <v>51</v>
      </c>
      <c r="J85" s="137" t="s">
        <v>70</v>
      </c>
      <c r="K85" s="75" t="s">
        <v>304</v>
      </c>
      <c r="L85" s="75" t="s">
        <v>317</v>
      </c>
      <c r="M85" s="75" t="s">
        <v>1515</v>
      </c>
      <c r="N85" s="75"/>
      <c r="O85" s="75"/>
      <c r="P85" s="88">
        <v>1</v>
      </c>
      <c r="Q85" s="76"/>
      <c r="R85" s="88">
        <v>1</v>
      </c>
      <c r="S85" s="77"/>
      <c r="T85" s="192"/>
      <c r="U85" s="192"/>
      <c r="V85" s="192"/>
      <c r="W85" s="192"/>
      <c r="X85" s="192"/>
      <c r="Y85" s="192"/>
      <c r="Z85" s="192"/>
      <c r="AA85" s="192"/>
      <c r="AB85" s="192"/>
      <c r="AC85" s="192"/>
      <c r="AD85" s="192"/>
      <c r="AE85" s="22" t="s">
        <v>318</v>
      </c>
      <c r="AF85" s="31" t="s">
        <v>70</v>
      </c>
    </row>
    <row r="86" spans="1:32" ht="52.8" x14ac:dyDescent="0.35">
      <c r="A86" s="60">
        <v>2</v>
      </c>
      <c r="B86" s="61" t="s">
        <v>1153</v>
      </c>
      <c r="C86" s="92" t="s">
        <v>1155</v>
      </c>
      <c r="D86" s="61" t="s">
        <v>1178</v>
      </c>
      <c r="E86" s="138" t="s">
        <v>314</v>
      </c>
      <c r="F86" s="79" t="s">
        <v>315</v>
      </c>
      <c r="G86" s="102" t="s">
        <v>1181</v>
      </c>
      <c r="H86" s="75" t="s">
        <v>320</v>
      </c>
      <c r="I86" s="74" t="s">
        <v>51</v>
      </c>
      <c r="J86" s="137" t="s">
        <v>70</v>
      </c>
      <c r="K86" s="75" t="s">
        <v>321</v>
      </c>
      <c r="L86" s="75" t="s">
        <v>317</v>
      </c>
      <c r="M86" s="75" t="s">
        <v>1515</v>
      </c>
      <c r="N86" s="75"/>
      <c r="O86" s="75"/>
      <c r="P86" s="88">
        <v>1</v>
      </c>
      <c r="Q86" s="88">
        <v>1</v>
      </c>
      <c r="R86" s="76"/>
      <c r="S86" s="77"/>
      <c r="T86" s="192"/>
      <c r="U86" s="192"/>
      <c r="V86" s="192"/>
      <c r="W86" s="192"/>
      <c r="X86" s="192"/>
      <c r="Y86" s="192"/>
      <c r="Z86" s="192"/>
      <c r="AA86" s="192"/>
      <c r="AB86" s="192"/>
      <c r="AC86" s="192"/>
      <c r="AD86" s="192"/>
      <c r="AE86" s="22" t="s">
        <v>318</v>
      </c>
      <c r="AF86" s="31" t="s">
        <v>70</v>
      </c>
    </row>
    <row r="87" spans="1:32" ht="52.8" x14ac:dyDescent="0.35">
      <c r="A87" s="60">
        <v>2</v>
      </c>
      <c r="B87" s="61" t="s">
        <v>1153</v>
      </c>
      <c r="C87" s="92" t="s">
        <v>1155</v>
      </c>
      <c r="D87" s="61" t="s">
        <v>1178</v>
      </c>
      <c r="E87" s="138" t="s">
        <v>314</v>
      </c>
      <c r="F87" s="79" t="s">
        <v>315</v>
      </c>
      <c r="G87" s="102" t="s">
        <v>1182</v>
      </c>
      <c r="H87" s="81" t="s">
        <v>322</v>
      </c>
      <c r="I87" s="74" t="s">
        <v>323</v>
      </c>
      <c r="J87" s="137" t="s">
        <v>324</v>
      </c>
      <c r="K87" s="75" t="s">
        <v>323</v>
      </c>
      <c r="L87" s="75" t="s">
        <v>325</v>
      </c>
      <c r="M87" s="75" t="s">
        <v>1515</v>
      </c>
      <c r="N87" s="75"/>
      <c r="O87" s="75"/>
      <c r="P87" s="76">
        <v>1</v>
      </c>
      <c r="Q87" s="76"/>
      <c r="R87" s="76">
        <v>1</v>
      </c>
      <c r="S87" s="77"/>
      <c r="T87" s="192"/>
      <c r="U87" s="192"/>
      <c r="V87" s="192"/>
      <c r="W87" s="192"/>
      <c r="X87" s="192"/>
      <c r="Y87" s="192"/>
      <c r="Z87" s="192"/>
      <c r="AA87" s="192"/>
      <c r="AB87" s="192"/>
      <c r="AC87" s="192"/>
      <c r="AD87" s="192"/>
      <c r="AE87" s="20" t="s">
        <v>325</v>
      </c>
      <c r="AF87" s="20" t="s">
        <v>323</v>
      </c>
    </row>
    <row r="88" spans="1:32" ht="52.8" x14ac:dyDescent="0.35">
      <c r="A88" s="60">
        <v>2</v>
      </c>
      <c r="B88" s="61" t="s">
        <v>1153</v>
      </c>
      <c r="C88" s="92" t="s">
        <v>1155</v>
      </c>
      <c r="D88" s="61" t="s">
        <v>1178</v>
      </c>
      <c r="E88" s="138" t="s">
        <v>314</v>
      </c>
      <c r="F88" s="79" t="s">
        <v>315</v>
      </c>
      <c r="G88" s="102" t="s">
        <v>1183</v>
      </c>
      <c r="H88" s="81" t="s">
        <v>326</v>
      </c>
      <c r="I88" s="74" t="s">
        <v>51</v>
      </c>
      <c r="J88" s="137" t="s">
        <v>70</v>
      </c>
      <c r="K88" s="75" t="s">
        <v>323</v>
      </c>
      <c r="L88" s="75" t="s">
        <v>317</v>
      </c>
      <c r="M88" s="75" t="s">
        <v>1515</v>
      </c>
      <c r="N88" s="75"/>
      <c r="O88" s="75"/>
      <c r="P88" s="88">
        <v>1</v>
      </c>
      <c r="Q88" s="88">
        <v>1</v>
      </c>
      <c r="R88" s="76"/>
      <c r="S88" s="77"/>
      <c r="T88" s="192"/>
      <c r="U88" s="192"/>
      <c r="V88" s="192"/>
      <c r="W88" s="192"/>
      <c r="X88" s="192"/>
      <c r="Y88" s="192"/>
      <c r="Z88" s="192"/>
      <c r="AA88" s="192"/>
      <c r="AB88" s="192"/>
      <c r="AC88" s="192"/>
      <c r="AD88" s="192"/>
      <c r="AE88" s="22" t="s">
        <v>318</v>
      </c>
      <c r="AF88" s="31" t="s">
        <v>70</v>
      </c>
    </row>
    <row r="89" spans="1:32" ht="52.8" x14ac:dyDescent="0.35">
      <c r="A89" s="60">
        <v>2</v>
      </c>
      <c r="B89" s="61" t="s">
        <v>1153</v>
      </c>
      <c r="C89" s="92" t="s">
        <v>1155</v>
      </c>
      <c r="D89" s="61" t="s">
        <v>1178</v>
      </c>
      <c r="E89" s="138" t="s">
        <v>314</v>
      </c>
      <c r="F89" s="79" t="s">
        <v>315</v>
      </c>
      <c r="G89" s="102" t="s">
        <v>1184</v>
      </c>
      <c r="H89" s="75" t="s">
        <v>327</v>
      </c>
      <c r="I89" s="74" t="s">
        <v>51</v>
      </c>
      <c r="J89" s="137" t="s">
        <v>70</v>
      </c>
      <c r="K89" s="75" t="s">
        <v>328</v>
      </c>
      <c r="L89" s="75" t="s">
        <v>317</v>
      </c>
      <c r="M89" s="75" t="s">
        <v>1515</v>
      </c>
      <c r="N89" s="75"/>
      <c r="O89" s="75"/>
      <c r="P89" s="88">
        <v>1</v>
      </c>
      <c r="Q89" s="76"/>
      <c r="R89" s="76"/>
      <c r="S89" s="140">
        <v>1</v>
      </c>
      <c r="T89" s="199"/>
      <c r="U89" s="199"/>
      <c r="V89" s="199"/>
      <c r="W89" s="199"/>
      <c r="X89" s="199"/>
      <c r="Y89" s="199"/>
      <c r="Z89" s="199"/>
      <c r="AA89" s="199"/>
      <c r="AB89" s="199"/>
      <c r="AC89" s="199"/>
      <c r="AD89" s="199"/>
      <c r="AE89" s="22" t="s">
        <v>318</v>
      </c>
      <c r="AF89" s="30" t="s">
        <v>70</v>
      </c>
    </row>
    <row r="90" spans="1:32" ht="52.8" x14ac:dyDescent="0.35">
      <c r="A90" s="60">
        <v>2</v>
      </c>
      <c r="B90" s="61" t="s">
        <v>1153</v>
      </c>
      <c r="C90" s="92" t="s">
        <v>1155</v>
      </c>
      <c r="D90" s="61" t="s">
        <v>1178</v>
      </c>
      <c r="E90" s="138" t="s">
        <v>314</v>
      </c>
      <c r="F90" s="79" t="s">
        <v>315</v>
      </c>
      <c r="G90" s="102" t="s">
        <v>1185</v>
      </c>
      <c r="H90" s="81" t="s">
        <v>1187</v>
      </c>
      <c r="I90" s="74" t="s">
        <v>51</v>
      </c>
      <c r="J90" s="137" t="s">
        <v>70</v>
      </c>
      <c r="K90" s="75" t="s">
        <v>329</v>
      </c>
      <c r="L90" s="75" t="s">
        <v>317</v>
      </c>
      <c r="M90" s="75" t="s">
        <v>1515</v>
      </c>
      <c r="N90" s="75"/>
      <c r="O90" s="75"/>
      <c r="P90" s="88">
        <v>1</v>
      </c>
      <c r="Q90" s="76"/>
      <c r="R90" s="76"/>
      <c r="S90" s="140">
        <v>1</v>
      </c>
      <c r="T90" s="199"/>
      <c r="U90" s="199"/>
      <c r="V90" s="199"/>
      <c r="W90" s="199"/>
      <c r="X90" s="199"/>
      <c r="Y90" s="199"/>
      <c r="Z90" s="199"/>
      <c r="AA90" s="199"/>
      <c r="AB90" s="199"/>
      <c r="AC90" s="199"/>
      <c r="AD90" s="199"/>
      <c r="AE90" s="22" t="s">
        <v>318</v>
      </c>
      <c r="AF90" s="31" t="s">
        <v>70</v>
      </c>
    </row>
    <row r="91" spans="1:32" ht="52.8" x14ac:dyDescent="0.35">
      <c r="A91" s="60">
        <v>2</v>
      </c>
      <c r="B91" s="61" t="s">
        <v>1153</v>
      </c>
      <c r="C91" s="92" t="s">
        <v>1155</v>
      </c>
      <c r="D91" s="61" t="s">
        <v>1178</v>
      </c>
      <c r="E91" s="138" t="s">
        <v>314</v>
      </c>
      <c r="F91" s="79" t="s">
        <v>315</v>
      </c>
      <c r="G91" s="102" t="s">
        <v>1186</v>
      </c>
      <c r="H91" s="75" t="s">
        <v>330</v>
      </c>
      <c r="I91" s="74" t="s">
        <v>51</v>
      </c>
      <c r="J91" s="137" t="s">
        <v>70</v>
      </c>
      <c r="K91" s="75" t="s">
        <v>296</v>
      </c>
      <c r="L91" s="75" t="s">
        <v>317</v>
      </c>
      <c r="M91" s="75" t="s">
        <v>1515</v>
      </c>
      <c r="N91" s="75"/>
      <c r="O91" s="75"/>
      <c r="P91" s="88">
        <v>1</v>
      </c>
      <c r="Q91" s="88">
        <v>1</v>
      </c>
      <c r="R91" s="76"/>
      <c r="S91" s="77"/>
      <c r="T91" s="192"/>
      <c r="U91" s="192"/>
      <c r="V91" s="192"/>
      <c r="W91" s="192"/>
      <c r="X91" s="192"/>
      <c r="Y91" s="192"/>
      <c r="Z91" s="192"/>
      <c r="AA91" s="192"/>
      <c r="AB91" s="192"/>
      <c r="AC91" s="192"/>
      <c r="AD91" s="192"/>
      <c r="AE91" s="22" t="s">
        <v>318</v>
      </c>
      <c r="AF91" s="30" t="s">
        <v>70</v>
      </c>
    </row>
    <row r="92" spans="1:32" ht="52.8" x14ac:dyDescent="0.35">
      <c r="A92" s="60">
        <v>2</v>
      </c>
      <c r="B92" s="61" t="s">
        <v>1153</v>
      </c>
      <c r="C92" s="92" t="s">
        <v>1155</v>
      </c>
      <c r="D92" s="61" t="s">
        <v>1178</v>
      </c>
      <c r="E92" s="138" t="s">
        <v>331</v>
      </c>
      <c r="F92" s="79" t="s">
        <v>332</v>
      </c>
      <c r="G92" s="102" t="s">
        <v>1188</v>
      </c>
      <c r="H92" s="75" t="s">
        <v>333</v>
      </c>
      <c r="I92" s="74" t="s">
        <v>51</v>
      </c>
      <c r="J92" s="137" t="s">
        <v>70</v>
      </c>
      <c r="K92" s="75"/>
      <c r="L92" s="75" t="s">
        <v>334</v>
      </c>
      <c r="M92" s="75" t="s">
        <v>1515</v>
      </c>
      <c r="N92" s="75"/>
      <c r="O92" s="75"/>
      <c r="P92" s="76">
        <v>1</v>
      </c>
      <c r="Q92" s="76">
        <v>1</v>
      </c>
      <c r="R92" s="76"/>
      <c r="S92" s="77"/>
      <c r="T92" s="192"/>
      <c r="U92" s="192"/>
      <c r="V92" s="192"/>
      <c r="W92" s="192"/>
      <c r="X92" s="192"/>
      <c r="Y92" s="192"/>
      <c r="Z92" s="192"/>
      <c r="AA92" s="192"/>
      <c r="AB92" s="192"/>
      <c r="AC92" s="192"/>
      <c r="AD92" s="192"/>
      <c r="AE92" s="17" t="s">
        <v>335</v>
      </c>
      <c r="AF92" s="30" t="s">
        <v>70</v>
      </c>
    </row>
    <row r="93" spans="1:32" ht="52.8" x14ac:dyDescent="0.35">
      <c r="A93" s="60">
        <v>2</v>
      </c>
      <c r="B93" s="61" t="s">
        <v>1153</v>
      </c>
      <c r="C93" s="92" t="s">
        <v>1155</v>
      </c>
      <c r="D93" s="61" t="s">
        <v>1178</v>
      </c>
      <c r="E93" s="138" t="s">
        <v>331</v>
      </c>
      <c r="F93" s="79" t="s">
        <v>332</v>
      </c>
      <c r="G93" s="102" t="s">
        <v>1189</v>
      </c>
      <c r="H93" s="75" t="s">
        <v>336</v>
      </c>
      <c r="I93" s="74" t="s">
        <v>51</v>
      </c>
      <c r="J93" s="137" t="s">
        <v>70</v>
      </c>
      <c r="K93" s="75"/>
      <c r="L93" s="75" t="s">
        <v>289</v>
      </c>
      <c r="M93" s="75" t="s">
        <v>1515</v>
      </c>
      <c r="N93" s="75"/>
      <c r="O93" s="75"/>
      <c r="P93" s="88">
        <v>1</v>
      </c>
      <c r="Q93" s="88">
        <v>1</v>
      </c>
      <c r="R93" s="76"/>
      <c r="S93" s="77"/>
      <c r="T93" s="192"/>
      <c r="U93" s="192"/>
      <c r="V93" s="192"/>
      <c r="W93" s="192"/>
      <c r="X93" s="192"/>
      <c r="Y93" s="192"/>
      <c r="Z93" s="192"/>
      <c r="AA93" s="192"/>
      <c r="AB93" s="192"/>
      <c r="AC93" s="192"/>
      <c r="AD93" s="192"/>
      <c r="AE93" s="22" t="s">
        <v>277</v>
      </c>
      <c r="AF93" s="30" t="s">
        <v>70</v>
      </c>
    </row>
    <row r="94" spans="1:32" ht="79.2" x14ac:dyDescent="0.35">
      <c r="A94" s="60">
        <v>2</v>
      </c>
      <c r="B94" s="61" t="s">
        <v>1153</v>
      </c>
      <c r="C94" s="92" t="s">
        <v>1156</v>
      </c>
      <c r="D94" s="61" t="s">
        <v>1190</v>
      </c>
      <c r="E94" s="138" t="s">
        <v>337</v>
      </c>
      <c r="F94" s="79" t="s">
        <v>338</v>
      </c>
      <c r="G94" s="102" t="s">
        <v>1191</v>
      </c>
      <c r="H94" s="75" t="s">
        <v>339</v>
      </c>
      <c r="I94" s="74" t="s">
        <v>51</v>
      </c>
      <c r="J94" s="137" t="s">
        <v>70</v>
      </c>
      <c r="K94" s="75"/>
      <c r="L94" s="75" t="s">
        <v>53</v>
      </c>
      <c r="M94" s="75" t="s">
        <v>1515</v>
      </c>
      <c r="N94" s="75"/>
      <c r="O94" s="75"/>
      <c r="P94" s="76">
        <v>9</v>
      </c>
      <c r="Q94" s="76">
        <v>1</v>
      </c>
      <c r="R94" s="76">
        <v>3</v>
      </c>
      <c r="S94" s="77">
        <v>5</v>
      </c>
      <c r="T94" s="192"/>
      <c r="U94" s="192"/>
      <c r="V94" s="192"/>
      <c r="W94" s="192"/>
      <c r="X94" s="192"/>
      <c r="Y94" s="192"/>
      <c r="Z94" s="192"/>
      <c r="AA94" s="192"/>
      <c r="AB94" s="192"/>
      <c r="AC94" s="192"/>
      <c r="AD94" s="192"/>
      <c r="AE94" s="17" t="s">
        <v>83</v>
      </c>
      <c r="AF94" s="30" t="s">
        <v>70</v>
      </c>
    </row>
    <row r="95" spans="1:32" ht="79.2" x14ac:dyDescent="0.35">
      <c r="A95" s="60">
        <v>2</v>
      </c>
      <c r="B95" s="61" t="s">
        <v>1153</v>
      </c>
      <c r="C95" s="92" t="s">
        <v>1156</v>
      </c>
      <c r="D95" s="61" t="s">
        <v>1190</v>
      </c>
      <c r="E95" s="138" t="s">
        <v>337</v>
      </c>
      <c r="F95" s="79" t="s">
        <v>338</v>
      </c>
      <c r="G95" s="102" t="s">
        <v>1192</v>
      </c>
      <c r="H95" s="75" t="s">
        <v>340</v>
      </c>
      <c r="I95" s="74" t="s">
        <v>51</v>
      </c>
      <c r="J95" s="137" t="s">
        <v>70</v>
      </c>
      <c r="K95" s="75"/>
      <c r="L95" s="75" t="s">
        <v>341</v>
      </c>
      <c r="M95" s="75" t="s">
        <v>1515</v>
      </c>
      <c r="N95" s="75"/>
      <c r="O95" s="75"/>
      <c r="P95" s="76">
        <v>72</v>
      </c>
      <c r="Q95" s="76"/>
      <c r="R95" s="76">
        <v>12</v>
      </c>
      <c r="S95" s="77">
        <v>60</v>
      </c>
      <c r="T95" s="192"/>
      <c r="U95" s="192"/>
      <c r="V95" s="192"/>
      <c r="W95" s="192"/>
      <c r="X95" s="192"/>
      <c r="Y95" s="192"/>
      <c r="Z95" s="192"/>
      <c r="AA95" s="192"/>
      <c r="AB95" s="192"/>
      <c r="AC95" s="192"/>
      <c r="AD95" s="192"/>
      <c r="AE95" s="20" t="s">
        <v>342</v>
      </c>
      <c r="AF95" s="30" t="s">
        <v>70</v>
      </c>
    </row>
    <row r="96" spans="1:32" ht="79.2" x14ac:dyDescent="0.35">
      <c r="A96" s="60">
        <v>2</v>
      </c>
      <c r="B96" s="61" t="s">
        <v>1153</v>
      </c>
      <c r="C96" s="92" t="s">
        <v>1156</v>
      </c>
      <c r="D96" s="61" t="s">
        <v>1190</v>
      </c>
      <c r="E96" s="138" t="s">
        <v>337</v>
      </c>
      <c r="F96" s="79" t="s">
        <v>338</v>
      </c>
      <c r="G96" s="102" t="s">
        <v>1193</v>
      </c>
      <c r="H96" s="75" t="s">
        <v>343</v>
      </c>
      <c r="I96" s="74" t="s">
        <v>51</v>
      </c>
      <c r="J96" s="137" t="s">
        <v>70</v>
      </c>
      <c r="K96" s="75"/>
      <c r="L96" s="75" t="s">
        <v>344</v>
      </c>
      <c r="M96" s="75" t="s">
        <v>1515</v>
      </c>
      <c r="N96" s="75"/>
      <c r="O96" s="75"/>
      <c r="P96" s="76">
        <v>10</v>
      </c>
      <c r="Q96" s="76">
        <v>2</v>
      </c>
      <c r="R96" s="76">
        <v>3</v>
      </c>
      <c r="S96" s="77">
        <v>5</v>
      </c>
      <c r="T96" s="192"/>
      <c r="U96" s="192"/>
      <c r="V96" s="192"/>
      <c r="W96" s="192"/>
      <c r="X96" s="192"/>
      <c r="Y96" s="192"/>
      <c r="Z96" s="192"/>
      <c r="AA96" s="192"/>
      <c r="AB96" s="192"/>
      <c r="AC96" s="192"/>
      <c r="AD96" s="192"/>
      <c r="AE96" s="17" t="s">
        <v>345</v>
      </c>
      <c r="AF96" s="30" t="s">
        <v>70</v>
      </c>
    </row>
    <row r="97" spans="1:32" ht="79.2" x14ac:dyDescent="0.35">
      <c r="A97" s="60">
        <v>2</v>
      </c>
      <c r="B97" s="61" t="s">
        <v>1153</v>
      </c>
      <c r="C97" s="92" t="s">
        <v>1156</v>
      </c>
      <c r="D97" s="61" t="s">
        <v>1190</v>
      </c>
      <c r="E97" s="138" t="s">
        <v>337</v>
      </c>
      <c r="F97" s="79" t="s">
        <v>338</v>
      </c>
      <c r="G97" s="102" t="s">
        <v>1194</v>
      </c>
      <c r="H97" s="75" t="s">
        <v>346</v>
      </c>
      <c r="I97" s="74" t="s">
        <v>51</v>
      </c>
      <c r="J97" s="137" t="s">
        <v>70</v>
      </c>
      <c r="K97" s="75"/>
      <c r="L97" s="75" t="s">
        <v>347</v>
      </c>
      <c r="M97" s="75" t="s">
        <v>1515</v>
      </c>
      <c r="N97" s="75"/>
      <c r="O97" s="75"/>
      <c r="P97" s="76">
        <v>1</v>
      </c>
      <c r="Q97" s="76">
        <v>1</v>
      </c>
      <c r="R97" s="76"/>
      <c r="S97" s="77"/>
      <c r="T97" s="192"/>
      <c r="U97" s="192"/>
      <c r="V97" s="192"/>
      <c r="W97" s="192"/>
      <c r="X97" s="192"/>
      <c r="Y97" s="192"/>
      <c r="Z97" s="192"/>
      <c r="AA97" s="192"/>
      <c r="AB97" s="192"/>
      <c r="AC97" s="192"/>
      <c r="AD97" s="192"/>
      <c r="AE97" s="20" t="s">
        <v>348</v>
      </c>
      <c r="AF97" s="30" t="s">
        <v>70</v>
      </c>
    </row>
    <row r="98" spans="1:32" ht="79.2" x14ac:dyDescent="0.35">
      <c r="A98" s="60">
        <v>2</v>
      </c>
      <c r="B98" s="61" t="s">
        <v>1153</v>
      </c>
      <c r="C98" s="92" t="s">
        <v>1156</v>
      </c>
      <c r="D98" s="61" t="s">
        <v>1190</v>
      </c>
      <c r="E98" s="138" t="s">
        <v>349</v>
      </c>
      <c r="F98" s="79" t="s">
        <v>350</v>
      </c>
      <c r="G98" s="102" t="s">
        <v>1195</v>
      </c>
      <c r="H98" s="81" t="s">
        <v>351</v>
      </c>
      <c r="I98" s="74" t="s">
        <v>42</v>
      </c>
      <c r="J98" s="137" t="s">
        <v>47</v>
      </c>
      <c r="K98" s="75" t="s">
        <v>51</v>
      </c>
      <c r="L98" s="75" t="s">
        <v>352</v>
      </c>
      <c r="M98" s="75" t="s">
        <v>1515</v>
      </c>
      <c r="N98" s="75"/>
      <c r="O98" s="75"/>
      <c r="P98" s="76">
        <v>18</v>
      </c>
      <c r="Q98" s="76">
        <v>2</v>
      </c>
      <c r="R98" s="76">
        <v>6</v>
      </c>
      <c r="S98" s="77">
        <v>10</v>
      </c>
      <c r="T98" s="192"/>
      <c r="U98" s="192"/>
      <c r="V98" s="192"/>
      <c r="W98" s="192"/>
      <c r="X98" s="192"/>
      <c r="Y98" s="192"/>
      <c r="Z98" s="192"/>
      <c r="AA98" s="192"/>
      <c r="AB98" s="192"/>
      <c r="AC98" s="192"/>
      <c r="AD98" s="192"/>
      <c r="AE98" s="17" t="s">
        <v>353</v>
      </c>
      <c r="AF98" s="30" t="s">
        <v>70</v>
      </c>
    </row>
    <row r="99" spans="1:32" ht="79.2" x14ac:dyDescent="0.35">
      <c r="A99" s="60">
        <v>2</v>
      </c>
      <c r="B99" s="61" t="s">
        <v>1153</v>
      </c>
      <c r="C99" s="92" t="s">
        <v>1156</v>
      </c>
      <c r="D99" s="61" t="s">
        <v>1190</v>
      </c>
      <c r="E99" s="138" t="s">
        <v>349</v>
      </c>
      <c r="F99" s="79" t="s">
        <v>350</v>
      </c>
      <c r="G99" s="102" t="s">
        <v>1196</v>
      </c>
      <c r="H99" s="75" t="s">
        <v>354</v>
      </c>
      <c r="I99" s="74" t="s">
        <v>51</v>
      </c>
      <c r="J99" s="137" t="s">
        <v>70</v>
      </c>
      <c r="K99" s="75"/>
      <c r="L99" s="75" t="s">
        <v>355</v>
      </c>
      <c r="M99" s="75" t="s">
        <v>1515</v>
      </c>
      <c r="N99" s="75"/>
      <c r="O99" s="75"/>
      <c r="P99" s="76">
        <v>6</v>
      </c>
      <c r="Q99" s="76"/>
      <c r="R99" s="76">
        <v>1</v>
      </c>
      <c r="S99" s="77">
        <v>5</v>
      </c>
      <c r="T99" s="192"/>
      <c r="U99" s="192"/>
      <c r="V99" s="192"/>
      <c r="W99" s="192"/>
      <c r="X99" s="192"/>
      <c r="Y99" s="192"/>
      <c r="Z99" s="192"/>
      <c r="AA99" s="192"/>
      <c r="AB99" s="192"/>
      <c r="AC99" s="192"/>
      <c r="AD99" s="192"/>
      <c r="AE99" s="20" t="s">
        <v>356</v>
      </c>
      <c r="AF99" s="30" t="s">
        <v>70</v>
      </c>
    </row>
    <row r="100" spans="1:32" ht="79.2" x14ac:dyDescent="0.35">
      <c r="A100" s="60">
        <v>2</v>
      </c>
      <c r="B100" s="61" t="s">
        <v>1153</v>
      </c>
      <c r="C100" s="92" t="s">
        <v>1156</v>
      </c>
      <c r="D100" s="61" t="s">
        <v>1190</v>
      </c>
      <c r="E100" s="138" t="s">
        <v>357</v>
      </c>
      <c r="F100" s="79" t="s">
        <v>358</v>
      </c>
      <c r="G100" s="102" t="s">
        <v>1197</v>
      </c>
      <c r="H100" s="75" t="s">
        <v>359</v>
      </c>
      <c r="I100" s="74" t="s">
        <v>51</v>
      </c>
      <c r="J100" s="137" t="s">
        <v>70</v>
      </c>
      <c r="K100" s="75"/>
      <c r="L100" s="75" t="s">
        <v>360</v>
      </c>
      <c r="M100" s="69" t="s">
        <v>1516</v>
      </c>
      <c r="N100" s="75"/>
      <c r="O100" s="75"/>
      <c r="P100" s="76">
        <v>1</v>
      </c>
      <c r="Q100" s="76">
        <v>1</v>
      </c>
      <c r="R100" s="76"/>
      <c r="S100" s="77"/>
      <c r="T100" s="192"/>
      <c r="U100" s="192"/>
      <c r="V100" s="192"/>
      <c r="W100" s="192"/>
      <c r="X100" s="192"/>
      <c r="Y100" s="192"/>
      <c r="Z100" s="192"/>
      <c r="AA100" s="192"/>
      <c r="AB100" s="192"/>
      <c r="AC100" s="192"/>
      <c r="AD100" s="192"/>
      <c r="AE100" s="17" t="s">
        <v>361</v>
      </c>
      <c r="AF100" s="30" t="s">
        <v>70</v>
      </c>
    </row>
    <row r="101" spans="1:32" ht="79.2" x14ac:dyDescent="0.35">
      <c r="A101" s="60">
        <v>2</v>
      </c>
      <c r="B101" s="61" t="s">
        <v>1153</v>
      </c>
      <c r="C101" s="92" t="s">
        <v>1156</v>
      </c>
      <c r="D101" s="61" t="s">
        <v>1190</v>
      </c>
      <c r="E101" s="138" t="s">
        <v>357</v>
      </c>
      <c r="F101" s="79" t="s">
        <v>358</v>
      </c>
      <c r="G101" s="102" t="s">
        <v>1198</v>
      </c>
      <c r="H101" s="75" t="s">
        <v>362</v>
      </c>
      <c r="I101" s="74" t="s">
        <v>51</v>
      </c>
      <c r="J101" s="137" t="s">
        <v>70</v>
      </c>
      <c r="K101" s="75"/>
      <c r="L101" s="75" t="s">
        <v>363</v>
      </c>
      <c r="M101" s="69" t="s">
        <v>1516</v>
      </c>
      <c r="N101" s="75"/>
      <c r="O101" s="75"/>
      <c r="P101" s="76">
        <v>8</v>
      </c>
      <c r="Q101" s="76"/>
      <c r="R101" s="76">
        <v>3</v>
      </c>
      <c r="S101" s="77">
        <v>5</v>
      </c>
      <c r="T101" s="192"/>
      <c r="U101" s="192"/>
      <c r="V101" s="192"/>
      <c r="W101" s="192"/>
      <c r="X101" s="192"/>
      <c r="Y101" s="192"/>
      <c r="Z101" s="192"/>
      <c r="AA101" s="192"/>
      <c r="AB101" s="192"/>
      <c r="AC101" s="192"/>
      <c r="AD101" s="192"/>
      <c r="AE101" s="20" t="s">
        <v>364</v>
      </c>
      <c r="AF101" s="30" t="s">
        <v>70</v>
      </c>
    </row>
    <row r="102" spans="1:32" ht="79.2" x14ac:dyDescent="0.35">
      <c r="A102" s="60">
        <v>2</v>
      </c>
      <c r="B102" s="61" t="s">
        <v>1153</v>
      </c>
      <c r="C102" s="92" t="s">
        <v>1156</v>
      </c>
      <c r="D102" s="61" t="s">
        <v>1190</v>
      </c>
      <c r="E102" s="138" t="s">
        <v>357</v>
      </c>
      <c r="F102" s="79" t="s">
        <v>358</v>
      </c>
      <c r="G102" s="102" t="s">
        <v>1199</v>
      </c>
      <c r="H102" s="75" t="s">
        <v>365</v>
      </c>
      <c r="I102" s="74" t="s">
        <v>51</v>
      </c>
      <c r="J102" s="137" t="s">
        <v>70</v>
      </c>
      <c r="K102" s="75"/>
      <c r="L102" s="75" t="s">
        <v>366</v>
      </c>
      <c r="M102" s="69" t="s">
        <v>1516</v>
      </c>
      <c r="N102" s="75"/>
      <c r="O102" s="75"/>
      <c r="P102" s="76">
        <v>1</v>
      </c>
      <c r="Q102" s="76"/>
      <c r="R102" s="76">
        <v>1</v>
      </c>
      <c r="S102" s="77"/>
      <c r="T102" s="192"/>
      <c r="U102" s="192"/>
      <c r="V102" s="192"/>
      <c r="W102" s="192"/>
      <c r="X102" s="192"/>
      <c r="Y102" s="192"/>
      <c r="Z102" s="192"/>
      <c r="AA102" s="192"/>
      <c r="AB102" s="192"/>
      <c r="AC102" s="192"/>
      <c r="AD102" s="192"/>
      <c r="AE102" s="17" t="s">
        <v>367</v>
      </c>
      <c r="AF102" s="30" t="s">
        <v>70</v>
      </c>
    </row>
    <row r="103" spans="1:32" ht="79.2" x14ac:dyDescent="0.35">
      <c r="A103" s="60">
        <v>2</v>
      </c>
      <c r="B103" s="61" t="s">
        <v>1153</v>
      </c>
      <c r="C103" s="92" t="s">
        <v>1156</v>
      </c>
      <c r="D103" s="61" t="s">
        <v>1190</v>
      </c>
      <c r="E103" s="138" t="s">
        <v>357</v>
      </c>
      <c r="F103" s="79" t="s">
        <v>358</v>
      </c>
      <c r="G103" s="102" t="s">
        <v>1200</v>
      </c>
      <c r="H103" s="75" t="s">
        <v>368</v>
      </c>
      <c r="I103" s="74" t="s">
        <v>51</v>
      </c>
      <c r="J103" s="137" t="s">
        <v>70</v>
      </c>
      <c r="K103" s="75"/>
      <c r="L103" s="75" t="s">
        <v>369</v>
      </c>
      <c r="M103" s="69" t="s">
        <v>1516</v>
      </c>
      <c r="N103" s="75"/>
      <c r="O103" s="75"/>
      <c r="P103" s="76">
        <v>8</v>
      </c>
      <c r="Q103" s="76"/>
      <c r="R103" s="76">
        <v>3</v>
      </c>
      <c r="S103" s="77">
        <v>5</v>
      </c>
      <c r="T103" s="192"/>
      <c r="U103" s="192"/>
      <c r="V103" s="192"/>
      <c r="W103" s="192"/>
      <c r="X103" s="192"/>
      <c r="Y103" s="192"/>
      <c r="Z103" s="192"/>
      <c r="AA103" s="192"/>
      <c r="AB103" s="192"/>
      <c r="AC103" s="192"/>
      <c r="AD103" s="192"/>
      <c r="AE103" s="20" t="s">
        <v>370</v>
      </c>
      <c r="AF103" s="30" t="s">
        <v>70</v>
      </c>
    </row>
    <row r="104" spans="1:32" ht="79.2" x14ac:dyDescent="0.35">
      <c r="A104" s="60">
        <v>2</v>
      </c>
      <c r="B104" s="61" t="s">
        <v>1153</v>
      </c>
      <c r="C104" s="92" t="s">
        <v>1156</v>
      </c>
      <c r="D104" s="61" t="s">
        <v>1190</v>
      </c>
      <c r="E104" s="138" t="s">
        <v>371</v>
      </c>
      <c r="F104" s="79" t="s">
        <v>372</v>
      </c>
      <c r="G104" s="102" t="s">
        <v>1201</v>
      </c>
      <c r="H104" s="75" t="s">
        <v>373</v>
      </c>
      <c r="I104" s="74" t="s">
        <v>51</v>
      </c>
      <c r="J104" s="137" t="s">
        <v>70</v>
      </c>
      <c r="K104" s="75"/>
      <c r="L104" s="75" t="s">
        <v>374</v>
      </c>
      <c r="M104" s="75" t="s">
        <v>1515</v>
      </c>
      <c r="N104" s="75"/>
      <c r="O104" s="75"/>
      <c r="P104" s="76">
        <v>9</v>
      </c>
      <c r="Q104" s="76">
        <v>1</v>
      </c>
      <c r="R104" s="76">
        <v>3</v>
      </c>
      <c r="S104" s="77">
        <v>5</v>
      </c>
      <c r="T104" s="192"/>
      <c r="U104" s="192"/>
      <c r="V104" s="192"/>
      <c r="W104" s="192"/>
      <c r="X104" s="192"/>
      <c r="Y104" s="192"/>
      <c r="Z104" s="192"/>
      <c r="AA104" s="192"/>
      <c r="AB104" s="192"/>
      <c r="AC104" s="192"/>
      <c r="AD104" s="192"/>
      <c r="AE104" s="17" t="s">
        <v>375</v>
      </c>
      <c r="AF104" s="30" t="s">
        <v>70</v>
      </c>
    </row>
    <row r="105" spans="1:32" ht="79.2" x14ac:dyDescent="0.35">
      <c r="A105" s="60">
        <v>2</v>
      </c>
      <c r="B105" s="61" t="s">
        <v>1153</v>
      </c>
      <c r="C105" s="92" t="s">
        <v>1156</v>
      </c>
      <c r="D105" s="61" t="s">
        <v>1190</v>
      </c>
      <c r="E105" s="138" t="s">
        <v>371</v>
      </c>
      <c r="F105" s="79" t="s">
        <v>372</v>
      </c>
      <c r="G105" s="102" t="s">
        <v>1202</v>
      </c>
      <c r="H105" s="75" t="s">
        <v>1203</v>
      </c>
      <c r="I105" s="74" t="s">
        <v>51</v>
      </c>
      <c r="J105" s="137" t="s">
        <v>70</v>
      </c>
      <c r="K105" s="75"/>
      <c r="L105" s="75" t="s">
        <v>1204</v>
      </c>
      <c r="M105" s="75" t="s">
        <v>1515</v>
      </c>
      <c r="N105" s="75"/>
      <c r="O105" s="75"/>
      <c r="P105" s="76">
        <v>1</v>
      </c>
      <c r="Q105" s="76">
        <v>1</v>
      </c>
      <c r="R105" s="76"/>
      <c r="S105" s="77"/>
      <c r="T105" s="192"/>
      <c r="U105" s="192"/>
      <c r="V105" s="192"/>
      <c r="W105" s="192"/>
      <c r="X105" s="192"/>
      <c r="Y105" s="192"/>
      <c r="Z105" s="192"/>
      <c r="AA105" s="192"/>
      <c r="AB105" s="192"/>
      <c r="AC105" s="192"/>
      <c r="AD105" s="192"/>
      <c r="AE105" s="20" t="s">
        <v>376</v>
      </c>
      <c r="AF105" s="30" t="s">
        <v>70</v>
      </c>
    </row>
    <row r="106" spans="1:32" ht="79.2" x14ac:dyDescent="0.35">
      <c r="A106" s="60">
        <v>2</v>
      </c>
      <c r="B106" s="61" t="s">
        <v>1153</v>
      </c>
      <c r="C106" s="92" t="s">
        <v>1156</v>
      </c>
      <c r="D106" s="61" t="s">
        <v>1190</v>
      </c>
      <c r="E106" s="138" t="s">
        <v>377</v>
      </c>
      <c r="F106" s="79" t="s">
        <v>378</v>
      </c>
      <c r="G106" s="102" t="s">
        <v>1205</v>
      </c>
      <c r="H106" s="75" t="s">
        <v>379</v>
      </c>
      <c r="I106" s="74" t="s">
        <v>323</v>
      </c>
      <c r="J106" s="137" t="s">
        <v>380</v>
      </c>
      <c r="K106" s="75"/>
      <c r="L106" s="75" t="s">
        <v>381</v>
      </c>
      <c r="M106" s="69" t="s">
        <v>1516</v>
      </c>
      <c r="N106" s="75"/>
      <c r="O106" s="75"/>
      <c r="P106" s="88">
        <v>1</v>
      </c>
      <c r="Q106" s="88">
        <v>1</v>
      </c>
      <c r="R106" s="76"/>
      <c r="S106" s="77"/>
      <c r="T106" s="192"/>
      <c r="U106" s="192"/>
      <c r="V106" s="192"/>
      <c r="W106" s="192"/>
      <c r="X106" s="192"/>
      <c r="Y106" s="192"/>
      <c r="Z106" s="192"/>
      <c r="AA106" s="192"/>
      <c r="AB106" s="192"/>
      <c r="AC106" s="192"/>
      <c r="AD106" s="192"/>
      <c r="AE106" s="17" t="s">
        <v>382</v>
      </c>
      <c r="AF106" s="30" t="s">
        <v>70</v>
      </c>
    </row>
    <row r="107" spans="1:32" ht="79.2" x14ac:dyDescent="0.35">
      <c r="A107" s="60">
        <v>2</v>
      </c>
      <c r="B107" s="61" t="s">
        <v>1153</v>
      </c>
      <c r="C107" s="92" t="s">
        <v>1156</v>
      </c>
      <c r="D107" s="61" t="s">
        <v>1190</v>
      </c>
      <c r="E107" s="138" t="s">
        <v>377</v>
      </c>
      <c r="F107" s="79" t="s">
        <v>378</v>
      </c>
      <c r="G107" s="102" t="s">
        <v>1206</v>
      </c>
      <c r="H107" s="81" t="s">
        <v>383</v>
      </c>
      <c r="I107" s="74" t="s">
        <v>323</v>
      </c>
      <c r="J107" s="137" t="s">
        <v>380</v>
      </c>
      <c r="K107" s="75" t="s">
        <v>51</v>
      </c>
      <c r="L107" s="75" t="s">
        <v>384</v>
      </c>
      <c r="M107" s="69" t="s">
        <v>1516</v>
      </c>
      <c r="N107" s="75"/>
      <c r="O107" s="75"/>
      <c r="P107" s="76">
        <v>72</v>
      </c>
      <c r="Q107" s="76">
        <v>36</v>
      </c>
      <c r="R107" s="76">
        <v>36</v>
      </c>
      <c r="S107" s="77"/>
      <c r="T107" s="192"/>
      <c r="U107" s="192"/>
      <c r="V107" s="192"/>
      <c r="W107" s="192"/>
      <c r="X107" s="192"/>
      <c r="Y107" s="192"/>
      <c r="Z107" s="192"/>
      <c r="AA107" s="192"/>
      <c r="AB107" s="192"/>
      <c r="AC107" s="192"/>
      <c r="AD107" s="192"/>
      <c r="AE107" s="20" t="s">
        <v>385</v>
      </c>
      <c r="AF107" s="30" t="s">
        <v>380</v>
      </c>
    </row>
    <row r="108" spans="1:32" ht="79.2" x14ac:dyDescent="0.35">
      <c r="A108" s="60">
        <v>2</v>
      </c>
      <c r="B108" s="61" t="s">
        <v>1153</v>
      </c>
      <c r="C108" s="92" t="s">
        <v>1156</v>
      </c>
      <c r="D108" s="61" t="s">
        <v>1190</v>
      </c>
      <c r="E108" s="138" t="s">
        <v>377</v>
      </c>
      <c r="F108" s="79" t="s">
        <v>378</v>
      </c>
      <c r="G108" s="102" t="s">
        <v>1207</v>
      </c>
      <c r="H108" s="75" t="s">
        <v>386</v>
      </c>
      <c r="I108" s="74" t="s">
        <v>323</v>
      </c>
      <c r="J108" s="137" t="s">
        <v>380</v>
      </c>
      <c r="K108" s="75" t="s">
        <v>51</v>
      </c>
      <c r="L108" s="75" t="s">
        <v>387</v>
      </c>
      <c r="M108" s="69" t="s">
        <v>1516</v>
      </c>
      <c r="N108" s="75"/>
      <c r="O108" s="75"/>
      <c r="P108" s="88">
        <v>1</v>
      </c>
      <c r="Q108" s="88">
        <v>1</v>
      </c>
      <c r="R108" s="76"/>
      <c r="S108" s="77"/>
      <c r="T108" s="192"/>
      <c r="U108" s="192"/>
      <c r="V108" s="192"/>
      <c r="W108" s="192"/>
      <c r="X108" s="192"/>
      <c r="Y108" s="192"/>
      <c r="Z108" s="192"/>
      <c r="AA108" s="192"/>
      <c r="AB108" s="192"/>
      <c r="AC108" s="192"/>
      <c r="AD108" s="192"/>
      <c r="AE108" s="20" t="s">
        <v>388</v>
      </c>
      <c r="AF108" s="30" t="s">
        <v>380</v>
      </c>
    </row>
    <row r="109" spans="1:32" ht="79.2" x14ac:dyDescent="0.35">
      <c r="A109" s="60">
        <v>2</v>
      </c>
      <c r="B109" s="61" t="s">
        <v>1153</v>
      </c>
      <c r="C109" s="92" t="s">
        <v>1156</v>
      </c>
      <c r="D109" s="61" t="s">
        <v>1190</v>
      </c>
      <c r="E109" s="138" t="s">
        <v>377</v>
      </c>
      <c r="F109" s="79" t="s">
        <v>378</v>
      </c>
      <c r="G109" s="102" t="s">
        <v>1208</v>
      </c>
      <c r="H109" s="75" t="s">
        <v>389</v>
      </c>
      <c r="I109" s="74" t="s">
        <v>323</v>
      </c>
      <c r="J109" s="137" t="s">
        <v>380</v>
      </c>
      <c r="K109" s="75"/>
      <c r="L109" s="75" t="s">
        <v>366</v>
      </c>
      <c r="M109" s="69" t="s">
        <v>1516</v>
      </c>
      <c r="N109" s="75"/>
      <c r="O109" s="75"/>
      <c r="P109" s="76">
        <v>1</v>
      </c>
      <c r="Q109" s="76"/>
      <c r="R109" s="76"/>
      <c r="S109" s="77">
        <v>1</v>
      </c>
      <c r="T109" s="192"/>
      <c r="U109" s="192"/>
      <c r="V109" s="192"/>
      <c r="W109" s="192"/>
      <c r="X109" s="192"/>
      <c r="Y109" s="192"/>
      <c r="Z109" s="192"/>
      <c r="AA109" s="192"/>
      <c r="AB109" s="192"/>
      <c r="AC109" s="192"/>
      <c r="AD109" s="192"/>
      <c r="AE109" s="17" t="s">
        <v>390</v>
      </c>
      <c r="AF109" s="31" t="s">
        <v>380</v>
      </c>
    </row>
    <row r="110" spans="1:32" ht="79.8" thickBot="1" x14ac:dyDescent="0.4">
      <c r="A110" s="60">
        <v>2</v>
      </c>
      <c r="B110" s="61" t="s">
        <v>1153</v>
      </c>
      <c r="C110" s="92" t="s">
        <v>1156</v>
      </c>
      <c r="D110" s="61" t="s">
        <v>1190</v>
      </c>
      <c r="E110" s="138" t="s">
        <v>377</v>
      </c>
      <c r="F110" s="79" t="s">
        <v>378</v>
      </c>
      <c r="G110" s="102" t="s">
        <v>1209</v>
      </c>
      <c r="H110" s="124" t="s">
        <v>391</v>
      </c>
      <c r="I110" s="141" t="s">
        <v>323</v>
      </c>
      <c r="J110" s="142" t="s">
        <v>380</v>
      </c>
      <c r="K110" s="124"/>
      <c r="L110" s="124" t="s">
        <v>293</v>
      </c>
      <c r="M110" s="69" t="s">
        <v>1516</v>
      </c>
      <c r="N110" s="124"/>
      <c r="O110" s="124"/>
      <c r="P110" s="126">
        <v>1</v>
      </c>
      <c r="Q110" s="126"/>
      <c r="R110" s="126">
        <v>1</v>
      </c>
      <c r="S110" s="127"/>
      <c r="T110" s="196"/>
      <c r="U110" s="196"/>
      <c r="V110" s="196"/>
      <c r="W110" s="196"/>
      <c r="X110" s="196"/>
      <c r="Y110" s="196"/>
      <c r="Z110" s="196"/>
      <c r="AA110" s="196"/>
      <c r="AB110" s="196"/>
      <c r="AC110" s="196"/>
      <c r="AD110" s="196"/>
      <c r="AE110" s="52" t="s">
        <v>392</v>
      </c>
      <c r="AF110" s="32" t="s">
        <v>380</v>
      </c>
    </row>
    <row r="111" spans="1:32" ht="93" thickBot="1" x14ac:dyDescent="0.4">
      <c r="A111" s="60">
        <v>3</v>
      </c>
      <c r="B111" s="61" t="s">
        <v>1210</v>
      </c>
      <c r="C111" s="92" t="s">
        <v>1211</v>
      </c>
      <c r="D111" s="61" t="s">
        <v>1212</v>
      </c>
      <c r="E111" s="128" t="s">
        <v>393</v>
      </c>
      <c r="F111" s="129" t="s">
        <v>394</v>
      </c>
      <c r="G111" s="130" t="s">
        <v>1213</v>
      </c>
      <c r="H111" s="133" t="s">
        <v>395</v>
      </c>
      <c r="I111" s="133" t="s">
        <v>51</v>
      </c>
      <c r="J111" s="143" t="s">
        <v>70</v>
      </c>
      <c r="K111" s="133" t="s">
        <v>396</v>
      </c>
      <c r="L111" s="133" t="s">
        <v>121</v>
      </c>
      <c r="M111" s="133" t="s">
        <v>1515</v>
      </c>
      <c r="N111" s="133"/>
      <c r="O111" s="133"/>
      <c r="P111" s="134">
        <v>1</v>
      </c>
      <c r="Q111" s="134">
        <v>1</v>
      </c>
      <c r="R111" s="134"/>
      <c r="S111" s="135"/>
      <c r="T111" s="198"/>
      <c r="U111" s="198"/>
      <c r="V111" s="198"/>
      <c r="W111" s="198"/>
      <c r="X111" s="198"/>
      <c r="Y111" s="198"/>
      <c r="Z111" s="198"/>
      <c r="AA111" s="198"/>
      <c r="AB111" s="198"/>
      <c r="AC111" s="198"/>
      <c r="AD111" s="198"/>
      <c r="AE111" s="29" t="s">
        <v>397</v>
      </c>
      <c r="AF111" s="33" t="s">
        <v>70</v>
      </c>
    </row>
    <row r="112" spans="1:32" ht="93" thickBot="1" x14ac:dyDescent="0.4">
      <c r="A112" s="60">
        <v>3</v>
      </c>
      <c r="B112" s="61" t="s">
        <v>1210</v>
      </c>
      <c r="C112" s="92" t="s">
        <v>1211</v>
      </c>
      <c r="D112" s="61" t="s">
        <v>1212</v>
      </c>
      <c r="E112" s="128" t="s">
        <v>393</v>
      </c>
      <c r="F112" s="129" t="s">
        <v>394</v>
      </c>
      <c r="G112" s="130" t="s">
        <v>1214</v>
      </c>
      <c r="H112" s="75" t="s">
        <v>398</v>
      </c>
      <c r="I112" s="75" t="s">
        <v>51</v>
      </c>
      <c r="J112" s="73" t="s">
        <v>70</v>
      </c>
      <c r="K112" s="75" t="s">
        <v>396</v>
      </c>
      <c r="L112" s="75" t="s">
        <v>399</v>
      </c>
      <c r="M112" s="75" t="s">
        <v>1515</v>
      </c>
      <c r="N112" s="75"/>
      <c r="O112" s="75"/>
      <c r="P112" s="88">
        <v>1</v>
      </c>
      <c r="Q112" s="76"/>
      <c r="R112" s="88">
        <v>1</v>
      </c>
      <c r="S112" s="77"/>
      <c r="T112" s="192"/>
      <c r="U112" s="192"/>
      <c r="V112" s="192"/>
      <c r="W112" s="192"/>
      <c r="X112" s="192"/>
      <c r="Y112" s="192"/>
      <c r="Z112" s="192"/>
      <c r="AA112" s="192"/>
      <c r="AB112" s="192"/>
      <c r="AC112" s="192"/>
      <c r="AD112" s="192"/>
      <c r="AE112" s="18" t="s">
        <v>400</v>
      </c>
      <c r="AF112" s="18" t="s">
        <v>70</v>
      </c>
    </row>
    <row r="113" spans="1:32" ht="93" thickBot="1" x14ac:dyDescent="0.4">
      <c r="A113" s="60">
        <v>3</v>
      </c>
      <c r="B113" s="61" t="s">
        <v>1210</v>
      </c>
      <c r="C113" s="92" t="s">
        <v>1211</v>
      </c>
      <c r="D113" s="61" t="s">
        <v>1212</v>
      </c>
      <c r="E113" s="128" t="s">
        <v>393</v>
      </c>
      <c r="F113" s="129" t="s">
        <v>394</v>
      </c>
      <c r="G113" s="130" t="s">
        <v>1215</v>
      </c>
      <c r="H113" s="79" t="s">
        <v>401</v>
      </c>
      <c r="I113" s="79" t="s">
        <v>51</v>
      </c>
      <c r="J113" s="79" t="s">
        <v>70</v>
      </c>
      <c r="K113" s="79" t="s">
        <v>402</v>
      </c>
      <c r="L113" s="75" t="s">
        <v>403</v>
      </c>
      <c r="M113" s="75" t="s">
        <v>1515</v>
      </c>
      <c r="N113" s="75"/>
      <c r="O113" s="75"/>
      <c r="P113" s="88">
        <v>0.8</v>
      </c>
      <c r="Q113" s="76"/>
      <c r="R113" s="88">
        <v>0.8</v>
      </c>
      <c r="S113" s="77"/>
      <c r="T113" s="192"/>
      <c r="U113" s="192"/>
      <c r="V113" s="192"/>
      <c r="W113" s="192"/>
      <c r="X113" s="192"/>
      <c r="Y113" s="192"/>
      <c r="Z113" s="192"/>
      <c r="AA113" s="192"/>
      <c r="AB113" s="192"/>
      <c r="AC113" s="192"/>
      <c r="AD113" s="192"/>
      <c r="AE113" s="20" t="s">
        <v>404</v>
      </c>
      <c r="AF113" s="33" t="s">
        <v>70</v>
      </c>
    </row>
    <row r="114" spans="1:32" ht="93" thickBot="1" x14ac:dyDescent="0.4">
      <c r="A114" s="60">
        <v>3</v>
      </c>
      <c r="B114" s="61" t="s">
        <v>1210</v>
      </c>
      <c r="C114" s="92" t="s">
        <v>1211</v>
      </c>
      <c r="D114" s="61" t="s">
        <v>1212</v>
      </c>
      <c r="E114" s="128" t="s">
        <v>393</v>
      </c>
      <c r="F114" s="129" t="s">
        <v>394</v>
      </c>
      <c r="G114" s="130" t="s">
        <v>1215</v>
      </c>
      <c r="H114" s="79" t="s">
        <v>401</v>
      </c>
      <c r="I114" s="79" t="s">
        <v>51</v>
      </c>
      <c r="J114" s="79" t="s">
        <v>70</v>
      </c>
      <c r="K114" s="79" t="s">
        <v>402</v>
      </c>
      <c r="L114" s="75" t="s">
        <v>405</v>
      </c>
      <c r="M114" s="75" t="s">
        <v>1515</v>
      </c>
      <c r="N114" s="75"/>
      <c r="O114" s="75"/>
      <c r="P114" s="88">
        <v>1</v>
      </c>
      <c r="Q114" s="88"/>
      <c r="R114" s="88">
        <v>1</v>
      </c>
      <c r="S114" s="140"/>
      <c r="T114" s="199"/>
      <c r="U114" s="199"/>
      <c r="V114" s="199"/>
      <c r="W114" s="199"/>
      <c r="X114" s="199"/>
      <c r="Y114" s="199"/>
      <c r="Z114" s="199"/>
      <c r="AA114" s="199"/>
      <c r="AB114" s="199"/>
      <c r="AC114" s="199"/>
      <c r="AD114" s="199"/>
      <c r="AE114" s="20" t="s">
        <v>406</v>
      </c>
      <c r="AF114" s="33" t="s">
        <v>70</v>
      </c>
    </row>
    <row r="115" spans="1:32" ht="92.4" x14ac:dyDescent="0.35">
      <c r="A115" s="60">
        <v>3</v>
      </c>
      <c r="B115" s="61" t="s">
        <v>1210</v>
      </c>
      <c r="C115" s="92" t="s">
        <v>1211</v>
      </c>
      <c r="D115" s="61" t="s">
        <v>1212</v>
      </c>
      <c r="E115" s="128" t="s">
        <v>393</v>
      </c>
      <c r="F115" s="129" t="s">
        <v>394</v>
      </c>
      <c r="G115" s="130" t="s">
        <v>1215</v>
      </c>
      <c r="H115" s="79" t="s">
        <v>401</v>
      </c>
      <c r="I115" s="79" t="s">
        <v>51</v>
      </c>
      <c r="J115" s="79" t="s">
        <v>70</v>
      </c>
      <c r="K115" s="79" t="s">
        <v>402</v>
      </c>
      <c r="L115" s="75" t="s">
        <v>407</v>
      </c>
      <c r="M115" s="75" t="s">
        <v>1515</v>
      </c>
      <c r="N115" s="75"/>
      <c r="O115" s="75"/>
      <c r="P115" s="88">
        <v>1</v>
      </c>
      <c r="Q115" s="88">
        <v>0.25</v>
      </c>
      <c r="R115" s="88">
        <v>0.5</v>
      </c>
      <c r="S115" s="140">
        <v>1</v>
      </c>
      <c r="T115" s="199"/>
      <c r="U115" s="199"/>
      <c r="V115" s="199"/>
      <c r="W115" s="199"/>
      <c r="X115" s="199"/>
      <c r="Y115" s="199"/>
      <c r="Z115" s="199"/>
      <c r="AA115" s="199"/>
      <c r="AB115" s="199"/>
      <c r="AC115" s="199"/>
      <c r="AD115" s="199"/>
      <c r="AE115" s="20" t="s">
        <v>408</v>
      </c>
      <c r="AF115" s="33" t="s">
        <v>70</v>
      </c>
    </row>
    <row r="116" spans="1:32" ht="79.2" x14ac:dyDescent="0.35">
      <c r="A116" s="60">
        <v>3</v>
      </c>
      <c r="B116" s="61" t="s">
        <v>1210</v>
      </c>
      <c r="C116" s="92" t="s">
        <v>1211</v>
      </c>
      <c r="D116" s="61" t="s">
        <v>1212</v>
      </c>
      <c r="E116" s="138" t="s">
        <v>409</v>
      </c>
      <c r="F116" s="79" t="s">
        <v>1220</v>
      </c>
      <c r="G116" s="102" t="s">
        <v>1216</v>
      </c>
      <c r="H116" s="75" t="s">
        <v>410</v>
      </c>
      <c r="I116" s="75" t="s">
        <v>321</v>
      </c>
      <c r="J116" s="94" t="s">
        <v>411</v>
      </c>
      <c r="K116" s="75" t="s">
        <v>412</v>
      </c>
      <c r="L116" s="75" t="s">
        <v>413</v>
      </c>
      <c r="M116" s="75" t="s">
        <v>1515</v>
      </c>
      <c r="N116" s="75"/>
      <c r="O116" s="75"/>
      <c r="P116" s="76">
        <v>1</v>
      </c>
      <c r="Q116" s="76">
        <v>1</v>
      </c>
      <c r="R116" s="76"/>
      <c r="S116" s="77"/>
      <c r="T116" s="192"/>
      <c r="U116" s="192"/>
      <c r="V116" s="192"/>
      <c r="W116" s="192"/>
      <c r="X116" s="192"/>
      <c r="Y116" s="192"/>
      <c r="Z116" s="192"/>
      <c r="AA116" s="192"/>
      <c r="AB116" s="192"/>
      <c r="AC116" s="192"/>
      <c r="AD116" s="192"/>
      <c r="AE116" s="17" t="s">
        <v>414</v>
      </c>
      <c r="AF116" s="26" t="s">
        <v>411</v>
      </c>
    </row>
    <row r="117" spans="1:32" ht="79.2" x14ac:dyDescent="0.35">
      <c r="A117" s="60">
        <v>3</v>
      </c>
      <c r="B117" s="61" t="s">
        <v>1210</v>
      </c>
      <c r="C117" s="92" t="s">
        <v>1211</v>
      </c>
      <c r="D117" s="61" t="s">
        <v>1212</v>
      </c>
      <c r="E117" s="138" t="s">
        <v>409</v>
      </c>
      <c r="F117" s="79" t="s">
        <v>1220</v>
      </c>
      <c r="G117" s="102" t="s">
        <v>1217</v>
      </c>
      <c r="H117" s="75" t="s">
        <v>415</v>
      </c>
      <c r="I117" s="75" t="s">
        <v>321</v>
      </c>
      <c r="J117" s="94" t="s">
        <v>411</v>
      </c>
      <c r="K117" s="75" t="s">
        <v>412</v>
      </c>
      <c r="L117" s="75" t="s">
        <v>416</v>
      </c>
      <c r="M117" s="75" t="s">
        <v>1515</v>
      </c>
      <c r="N117" s="75"/>
      <c r="O117" s="75"/>
      <c r="P117" s="76">
        <v>1</v>
      </c>
      <c r="Q117" s="76">
        <v>1</v>
      </c>
      <c r="R117" s="76"/>
      <c r="S117" s="77"/>
      <c r="T117" s="192"/>
      <c r="U117" s="192"/>
      <c r="V117" s="192"/>
      <c r="W117" s="192"/>
      <c r="X117" s="192"/>
      <c r="Y117" s="192"/>
      <c r="Z117" s="192"/>
      <c r="AA117" s="192"/>
      <c r="AB117" s="192"/>
      <c r="AC117" s="192"/>
      <c r="AD117" s="192"/>
      <c r="AE117" s="20" t="s">
        <v>417</v>
      </c>
      <c r="AF117" s="26" t="s">
        <v>411</v>
      </c>
    </row>
    <row r="118" spans="1:32" ht="79.2" x14ac:dyDescent="0.35">
      <c r="A118" s="60">
        <v>3</v>
      </c>
      <c r="B118" s="61" t="s">
        <v>1210</v>
      </c>
      <c r="C118" s="92" t="s">
        <v>1211</v>
      </c>
      <c r="D118" s="61" t="s">
        <v>1212</v>
      </c>
      <c r="E118" s="138" t="s">
        <v>409</v>
      </c>
      <c r="F118" s="79" t="s">
        <v>1220</v>
      </c>
      <c r="G118" s="102" t="s">
        <v>1218</v>
      </c>
      <c r="H118" s="79" t="s">
        <v>418</v>
      </c>
      <c r="I118" s="79" t="s">
        <v>321</v>
      </c>
      <c r="J118" s="73" t="s">
        <v>411</v>
      </c>
      <c r="K118" s="75" t="s">
        <v>412</v>
      </c>
      <c r="L118" s="75" t="s">
        <v>419</v>
      </c>
      <c r="M118" s="75" t="s">
        <v>1515</v>
      </c>
      <c r="N118" s="75"/>
      <c r="O118" s="75"/>
      <c r="P118" s="88">
        <v>1</v>
      </c>
      <c r="Q118" s="88">
        <v>1</v>
      </c>
      <c r="R118" s="76"/>
      <c r="S118" s="77"/>
      <c r="T118" s="192"/>
      <c r="U118" s="192"/>
      <c r="V118" s="192"/>
      <c r="W118" s="192"/>
      <c r="X118" s="192"/>
      <c r="Y118" s="192"/>
      <c r="Z118" s="192"/>
      <c r="AA118" s="192"/>
      <c r="AB118" s="192"/>
      <c r="AC118" s="192"/>
      <c r="AD118" s="192"/>
      <c r="AE118" s="17" t="s">
        <v>420</v>
      </c>
      <c r="AF118" s="26" t="s">
        <v>411</v>
      </c>
    </row>
    <row r="119" spans="1:32" ht="79.2" x14ac:dyDescent="0.35">
      <c r="A119" s="60">
        <v>3</v>
      </c>
      <c r="B119" s="61" t="s">
        <v>1210</v>
      </c>
      <c r="C119" s="92" t="s">
        <v>1211</v>
      </c>
      <c r="D119" s="61" t="s">
        <v>1212</v>
      </c>
      <c r="E119" s="138" t="s">
        <v>409</v>
      </c>
      <c r="F119" s="79" t="s">
        <v>1220</v>
      </c>
      <c r="G119" s="102" t="s">
        <v>1218</v>
      </c>
      <c r="H119" s="79" t="s">
        <v>418</v>
      </c>
      <c r="I119" s="79" t="s">
        <v>321</v>
      </c>
      <c r="J119" s="73" t="s">
        <v>411</v>
      </c>
      <c r="K119" s="75" t="s">
        <v>412</v>
      </c>
      <c r="L119" s="75" t="s">
        <v>421</v>
      </c>
      <c r="M119" s="75" t="s">
        <v>1515</v>
      </c>
      <c r="N119" s="75"/>
      <c r="O119" s="75"/>
      <c r="P119" s="88">
        <v>1</v>
      </c>
      <c r="Q119" s="76"/>
      <c r="R119" s="88">
        <v>1</v>
      </c>
      <c r="S119" s="77"/>
      <c r="T119" s="192"/>
      <c r="U119" s="192"/>
      <c r="V119" s="192"/>
      <c r="W119" s="192"/>
      <c r="X119" s="192"/>
      <c r="Y119" s="192"/>
      <c r="Z119" s="192"/>
      <c r="AA119" s="192"/>
      <c r="AB119" s="192"/>
      <c r="AC119" s="192"/>
      <c r="AD119" s="192"/>
      <c r="AE119" s="17" t="s">
        <v>422</v>
      </c>
      <c r="AF119" s="26" t="s">
        <v>411</v>
      </c>
    </row>
    <row r="120" spans="1:32" ht="79.2" x14ac:dyDescent="0.35">
      <c r="A120" s="60">
        <v>3</v>
      </c>
      <c r="B120" s="61" t="s">
        <v>1210</v>
      </c>
      <c r="C120" s="92" t="s">
        <v>1211</v>
      </c>
      <c r="D120" s="61" t="s">
        <v>1212</v>
      </c>
      <c r="E120" s="138" t="s">
        <v>409</v>
      </c>
      <c r="F120" s="79" t="s">
        <v>1220</v>
      </c>
      <c r="G120" s="102" t="s">
        <v>1219</v>
      </c>
      <c r="H120" s="75" t="s">
        <v>438</v>
      </c>
      <c r="I120" s="75" t="s">
        <v>321</v>
      </c>
      <c r="J120" s="73" t="s">
        <v>411</v>
      </c>
      <c r="K120" s="75" t="s">
        <v>412</v>
      </c>
      <c r="L120" s="75" t="s">
        <v>423</v>
      </c>
      <c r="M120" s="75" t="s">
        <v>1515</v>
      </c>
      <c r="N120" s="75"/>
      <c r="O120" s="75"/>
      <c r="P120" s="76">
        <v>16</v>
      </c>
      <c r="Q120" s="76"/>
      <c r="R120" s="76">
        <v>6</v>
      </c>
      <c r="S120" s="77">
        <v>10</v>
      </c>
      <c r="T120" s="192"/>
      <c r="U120" s="192"/>
      <c r="V120" s="192"/>
      <c r="W120" s="192"/>
      <c r="X120" s="192"/>
      <c r="Y120" s="192"/>
      <c r="Z120" s="192"/>
      <c r="AA120" s="192"/>
      <c r="AB120" s="192"/>
      <c r="AC120" s="192"/>
      <c r="AD120" s="192"/>
      <c r="AE120" s="17" t="s">
        <v>424</v>
      </c>
      <c r="AF120" s="26" t="s">
        <v>411</v>
      </c>
    </row>
    <row r="121" spans="1:32" ht="79.2" x14ac:dyDescent="0.35">
      <c r="A121" s="60">
        <v>3</v>
      </c>
      <c r="B121" s="61" t="s">
        <v>1210</v>
      </c>
      <c r="C121" s="92" t="s">
        <v>1211</v>
      </c>
      <c r="D121" s="61" t="s">
        <v>1212</v>
      </c>
      <c r="E121" s="138" t="s">
        <v>425</v>
      </c>
      <c r="F121" s="79" t="s">
        <v>426</v>
      </c>
      <c r="G121" s="102" t="s">
        <v>1221</v>
      </c>
      <c r="H121" s="75" t="s">
        <v>427</v>
      </c>
      <c r="I121" s="75" t="s">
        <v>321</v>
      </c>
      <c r="J121" s="94" t="s">
        <v>428</v>
      </c>
      <c r="K121" s="75" t="s">
        <v>429</v>
      </c>
      <c r="L121" s="75" t="s">
        <v>430</v>
      </c>
      <c r="M121" s="75" t="s">
        <v>1515</v>
      </c>
      <c r="N121" s="75"/>
      <c r="O121" s="75"/>
      <c r="P121" s="76">
        <v>1</v>
      </c>
      <c r="Q121" s="76">
        <v>1</v>
      </c>
      <c r="R121" s="76"/>
      <c r="S121" s="77"/>
      <c r="T121" s="192"/>
      <c r="U121" s="192"/>
      <c r="V121" s="192"/>
      <c r="W121" s="192"/>
      <c r="X121" s="192"/>
      <c r="Y121" s="192"/>
      <c r="Z121" s="192"/>
      <c r="AA121" s="192"/>
      <c r="AB121" s="192"/>
      <c r="AC121" s="192"/>
      <c r="AD121" s="192"/>
      <c r="AE121" s="20" t="s">
        <v>430</v>
      </c>
      <c r="AF121" s="25" t="s">
        <v>428</v>
      </c>
    </row>
    <row r="122" spans="1:32" ht="79.2" x14ac:dyDescent="0.35">
      <c r="A122" s="60">
        <v>3</v>
      </c>
      <c r="B122" s="61" t="s">
        <v>1210</v>
      </c>
      <c r="C122" s="92" t="s">
        <v>1211</v>
      </c>
      <c r="D122" s="61" t="s">
        <v>1212</v>
      </c>
      <c r="E122" s="138" t="s">
        <v>425</v>
      </c>
      <c r="F122" s="79" t="s">
        <v>426</v>
      </c>
      <c r="G122" s="102" t="s">
        <v>1222</v>
      </c>
      <c r="H122" s="75" t="s">
        <v>410</v>
      </c>
      <c r="I122" s="75" t="s">
        <v>321</v>
      </c>
      <c r="J122" s="73" t="s">
        <v>428</v>
      </c>
      <c r="K122" s="75" t="s">
        <v>429</v>
      </c>
      <c r="L122" s="75" t="s">
        <v>431</v>
      </c>
      <c r="M122" s="75" t="s">
        <v>1515</v>
      </c>
      <c r="N122" s="75"/>
      <c r="O122" s="75"/>
      <c r="P122" s="76">
        <v>1</v>
      </c>
      <c r="Q122" s="76">
        <v>1</v>
      </c>
      <c r="R122" s="76"/>
      <c r="S122" s="77"/>
      <c r="T122" s="192"/>
      <c r="U122" s="192"/>
      <c r="V122" s="192"/>
      <c r="W122" s="192"/>
      <c r="X122" s="192"/>
      <c r="Y122" s="192"/>
      <c r="Z122" s="192"/>
      <c r="AA122" s="192"/>
      <c r="AB122" s="192"/>
      <c r="AC122" s="192"/>
      <c r="AD122" s="192"/>
      <c r="AE122" s="17" t="s">
        <v>432</v>
      </c>
      <c r="AF122" s="18" t="s">
        <v>428</v>
      </c>
    </row>
    <row r="123" spans="1:32" ht="79.2" x14ac:dyDescent="0.35">
      <c r="A123" s="60">
        <v>3</v>
      </c>
      <c r="B123" s="61" t="s">
        <v>1210</v>
      </c>
      <c r="C123" s="92" t="s">
        <v>1211</v>
      </c>
      <c r="D123" s="61" t="s">
        <v>1212</v>
      </c>
      <c r="E123" s="138" t="s">
        <v>425</v>
      </c>
      <c r="F123" s="79" t="s">
        <v>426</v>
      </c>
      <c r="G123" s="102" t="s">
        <v>1223</v>
      </c>
      <c r="H123" s="75" t="s">
        <v>433</v>
      </c>
      <c r="I123" s="75" t="s">
        <v>321</v>
      </c>
      <c r="J123" s="94" t="s">
        <v>428</v>
      </c>
      <c r="K123" s="75" t="s">
        <v>429</v>
      </c>
      <c r="L123" s="75" t="s">
        <v>416</v>
      </c>
      <c r="M123" s="75" t="s">
        <v>1515</v>
      </c>
      <c r="N123" s="75"/>
      <c r="O123" s="75"/>
      <c r="P123" s="76">
        <v>1</v>
      </c>
      <c r="Q123" s="76"/>
      <c r="R123" s="76">
        <v>1</v>
      </c>
      <c r="S123" s="77"/>
      <c r="T123" s="196"/>
      <c r="U123" s="196"/>
      <c r="V123" s="196"/>
      <c r="W123" s="196"/>
      <c r="X123" s="196"/>
      <c r="Y123" s="196"/>
      <c r="Z123" s="196"/>
      <c r="AA123" s="196"/>
      <c r="AB123" s="196"/>
      <c r="AC123" s="196"/>
      <c r="AD123" s="196"/>
      <c r="AE123" s="52" t="s">
        <v>434</v>
      </c>
      <c r="AF123" s="25" t="s">
        <v>428</v>
      </c>
    </row>
    <row r="124" spans="1:32" ht="109.2" x14ac:dyDescent="0.35">
      <c r="A124" s="60">
        <v>3</v>
      </c>
      <c r="B124" s="61" t="s">
        <v>1210</v>
      </c>
      <c r="C124" s="92" t="s">
        <v>1211</v>
      </c>
      <c r="D124" s="61" t="s">
        <v>1212</v>
      </c>
      <c r="E124" s="138" t="s">
        <v>425</v>
      </c>
      <c r="F124" s="79" t="s">
        <v>426</v>
      </c>
      <c r="G124" s="102" t="s">
        <v>1224</v>
      </c>
      <c r="H124" s="79" t="s">
        <v>435</v>
      </c>
      <c r="I124" s="79" t="s">
        <v>321</v>
      </c>
      <c r="J124" s="73" t="s">
        <v>428</v>
      </c>
      <c r="K124" s="75" t="s">
        <v>429</v>
      </c>
      <c r="L124" s="75" t="s">
        <v>419</v>
      </c>
      <c r="M124" s="75" t="s">
        <v>1515</v>
      </c>
      <c r="N124" s="75"/>
      <c r="O124" s="75"/>
      <c r="P124" s="88">
        <v>1</v>
      </c>
      <c r="Q124" s="76"/>
      <c r="R124" s="88">
        <v>1</v>
      </c>
      <c r="S124" s="77"/>
      <c r="T124" s="196"/>
      <c r="U124" s="196"/>
      <c r="V124" s="196"/>
      <c r="W124" s="196"/>
      <c r="X124" s="196"/>
      <c r="Y124" s="196"/>
      <c r="Z124" s="196"/>
      <c r="AA124" s="196"/>
      <c r="AB124" s="196"/>
      <c r="AC124" s="196"/>
      <c r="AD124" s="196"/>
      <c r="AE124" s="52" t="s">
        <v>436</v>
      </c>
      <c r="AF124" s="18" t="s">
        <v>428</v>
      </c>
    </row>
    <row r="125" spans="1:32" ht="93.6" x14ac:dyDescent="0.35">
      <c r="A125" s="60">
        <v>3</v>
      </c>
      <c r="B125" s="61" t="s">
        <v>1210</v>
      </c>
      <c r="C125" s="92" t="s">
        <v>1211</v>
      </c>
      <c r="D125" s="61" t="s">
        <v>1212</v>
      </c>
      <c r="E125" s="138" t="s">
        <v>425</v>
      </c>
      <c r="F125" s="79" t="s">
        <v>426</v>
      </c>
      <c r="G125" s="102" t="s">
        <v>1224</v>
      </c>
      <c r="H125" s="79" t="s">
        <v>435</v>
      </c>
      <c r="I125" s="79" t="s">
        <v>321</v>
      </c>
      <c r="J125" s="73" t="s">
        <v>428</v>
      </c>
      <c r="K125" s="75" t="s">
        <v>429</v>
      </c>
      <c r="L125" s="75" t="s">
        <v>421</v>
      </c>
      <c r="M125" s="75" t="s">
        <v>1515</v>
      </c>
      <c r="N125" s="75"/>
      <c r="O125" s="75"/>
      <c r="P125" s="88">
        <v>1</v>
      </c>
      <c r="Q125" s="76"/>
      <c r="R125" s="88">
        <v>1</v>
      </c>
      <c r="S125" s="77"/>
      <c r="T125" s="196"/>
      <c r="U125" s="196"/>
      <c r="V125" s="196"/>
      <c r="W125" s="196"/>
      <c r="X125" s="196"/>
      <c r="Y125" s="196"/>
      <c r="Z125" s="196"/>
      <c r="AA125" s="196"/>
      <c r="AB125" s="196"/>
      <c r="AC125" s="196"/>
      <c r="AD125" s="196"/>
      <c r="AE125" s="52" t="s">
        <v>437</v>
      </c>
      <c r="AF125" s="21" t="s">
        <v>428</v>
      </c>
    </row>
    <row r="126" spans="1:32" ht="79.2" x14ac:dyDescent="0.35">
      <c r="A126" s="60">
        <v>3</v>
      </c>
      <c r="B126" s="61" t="s">
        <v>1210</v>
      </c>
      <c r="C126" s="92" t="s">
        <v>1211</v>
      </c>
      <c r="D126" s="61" t="s">
        <v>1212</v>
      </c>
      <c r="E126" s="138" t="s">
        <v>425</v>
      </c>
      <c r="F126" s="79" t="s">
        <v>426</v>
      </c>
      <c r="G126" s="102" t="s">
        <v>1225</v>
      </c>
      <c r="H126" s="75" t="s">
        <v>438</v>
      </c>
      <c r="I126" s="75" t="s">
        <v>321</v>
      </c>
      <c r="J126" s="73" t="s">
        <v>428</v>
      </c>
      <c r="K126" s="75" t="s">
        <v>429</v>
      </c>
      <c r="L126" s="75" t="s">
        <v>423</v>
      </c>
      <c r="M126" s="75" t="s">
        <v>1515</v>
      </c>
      <c r="N126" s="75"/>
      <c r="O126" s="75"/>
      <c r="P126" s="76">
        <v>12</v>
      </c>
      <c r="Q126" s="76"/>
      <c r="R126" s="76">
        <v>2</v>
      </c>
      <c r="S126" s="77">
        <v>10</v>
      </c>
      <c r="T126" s="192"/>
      <c r="U126" s="192"/>
      <c r="V126" s="192"/>
      <c r="W126" s="192"/>
      <c r="X126" s="192"/>
      <c r="Y126" s="192"/>
      <c r="Z126" s="192"/>
      <c r="AA126" s="192"/>
      <c r="AB126" s="192"/>
      <c r="AC126" s="192"/>
      <c r="AD126" s="192"/>
      <c r="AE126" s="17" t="s">
        <v>439</v>
      </c>
      <c r="AF126" s="18" t="s">
        <v>428</v>
      </c>
    </row>
    <row r="127" spans="1:32" ht="79.2" x14ac:dyDescent="0.35">
      <c r="A127" s="60">
        <v>3</v>
      </c>
      <c r="B127" s="61" t="s">
        <v>1210</v>
      </c>
      <c r="C127" s="92" t="s">
        <v>1211</v>
      </c>
      <c r="D127" s="61" t="s">
        <v>1212</v>
      </c>
      <c r="E127" s="138" t="s">
        <v>440</v>
      </c>
      <c r="F127" s="79" t="s">
        <v>1226</v>
      </c>
      <c r="G127" s="102" t="s">
        <v>1227</v>
      </c>
      <c r="H127" s="75" t="s">
        <v>441</v>
      </c>
      <c r="I127" s="75" t="s">
        <v>323</v>
      </c>
      <c r="J127" s="73" t="s">
        <v>442</v>
      </c>
      <c r="K127" s="75" t="s">
        <v>443</v>
      </c>
      <c r="L127" s="75" t="s">
        <v>444</v>
      </c>
      <c r="M127" s="75" t="s">
        <v>1515</v>
      </c>
      <c r="N127" s="75"/>
      <c r="O127" s="75"/>
      <c r="P127" s="88">
        <v>1</v>
      </c>
      <c r="Q127" s="88">
        <v>1</v>
      </c>
      <c r="R127" s="76"/>
      <c r="S127" s="77"/>
      <c r="T127" s="196"/>
      <c r="U127" s="196"/>
      <c r="V127" s="196"/>
      <c r="W127" s="196"/>
      <c r="X127" s="196"/>
      <c r="Y127" s="196"/>
      <c r="Z127" s="196"/>
      <c r="AA127" s="196"/>
      <c r="AB127" s="196"/>
      <c r="AC127" s="196"/>
      <c r="AD127" s="196"/>
      <c r="AE127" s="53" t="s">
        <v>445</v>
      </c>
      <c r="AF127" s="21" t="s">
        <v>442</v>
      </c>
    </row>
    <row r="128" spans="1:32" ht="79.2" x14ac:dyDescent="0.35">
      <c r="A128" s="60">
        <v>3</v>
      </c>
      <c r="B128" s="61" t="s">
        <v>1210</v>
      </c>
      <c r="C128" s="92" t="s">
        <v>1211</v>
      </c>
      <c r="D128" s="61" t="s">
        <v>1212</v>
      </c>
      <c r="E128" s="138" t="s">
        <v>440</v>
      </c>
      <c r="F128" s="79" t="s">
        <v>1226</v>
      </c>
      <c r="G128" s="102" t="s">
        <v>1228</v>
      </c>
      <c r="H128" s="75" t="s">
        <v>410</v>
      </c>
      <c r="I128" s="75" t="s">
        <v>323</v>
      </c>
      <c r="J128" s="73" t="s">
        <v>442</v>
      </c>
      <c r="K128" s="75" t="s">
        <v>443</v>
      </c>
      <c r="L128" s="75" t="s">
        <v>413</v>
      </c>
      <c r="M128" s="75" t="s">
        <v>1515</v>
      </c>
      <c r="N128" s="75"/>
      <c r="O128" s="75"/>
      <c r="P128" s="76">
        <v>1</v>
      </c>
      <c r="Q128" s="76">
        <v>1</v>
      </c>
      <c r="R128" s="76"/>
      <c r="S128" s="77"/>
      <c r="T128" s="192"/>
      <c r="U128" s="192"/>
      <c r="V128" s="192"/>
      <c r="W128" s="192"/>
      <c r="X128" s="192"/>
      <c r="Y128" s="192"/>
      <c r="Z128" s="192"/>
      <c r="AA128" s="192"/>
      <c r="AB128" s="192"/>
      <c r="AC128" s="192"/>
      <c r="AD128" s="192"/>
      <c r="AE128" s="17" t="s">
        <v>446</v>
      </c>
      <c r="AF128" s="18" t="s">
        <v>442</v>
      </c>
    </row>
    <row r="129" spans="1:32" ht="79.2" x14ac:dyDescent="0.35">
      <c r="A129" s="60">
        <v>3</v>
      </c>
      <c r="B129" s="61" t="s">
        <v>1210</v>
      </c>
      <c r="C129" s="92" t="s">
        <v>1211</v>
      </c>
      <c r="D129" s="61" t="s">
        <v>1212</v>
      </c>
      <c r="E129" s="138" t="s">
        <v>440</v>
      </c>
      <c r="F129" s="79" t="s">
        <v>1226</v>
      </c>
      <c r="G129" s="102" t="s">
        <v>1229</v>
      </c>
      <c r="H129" s="75" t="s">
        <v>447</v>
      </c>
      <c r="I129" s="75" t="s">
        <v>323</v>
      </c>
      <c r="J129" s="73" t="s">
        <v>442</v>
      </c>
      <c r="K129" s="75" t="s">
        <v>443</v>
      </c>
      <c r="L129" s="75" t="s">
        <v>416</v>
      </c>
      <c r="M129" s="75" t="s">
        <v>1515</v>
      </c>
      <c r="N129" s="75"/>
      <c r="O129" s="75"/>
      <c r="P129" s="76">
        <v>1</v>
      </c>
      <c r="Q129" s="76"/>
      <c r="R129" s="76">
        <v>1</v>
      </c>
      <c r="S129" s="77"/>
      <c r="T129" s="196"/>
      <c r="U129" s="196"/>
      <c r="V129" s="196"/>
      <c r="W129" s="196"/>
      <c r="X129" s="196"/>
      <c r="Y129" s="196"/>
      <c r="Z129" s="196"/>
      <c r="AA129" s="196"/>
      <c r="AB129" s="196"/>
      <c r="AC129" s="196"/>
      <c r="AD129" s="196"/>
      <c r="AE129" s="52" t="s">
        <v>448</v>
      </c>
      <c r="AF129" s="21" t="s">
        <v>442</v>
      </c>
    </row>
    <row r="130" spans="1:32" ht="79.2" x14ac:dyDescent="0.35">
      <c r="A130" s="60">
        <v>3</v>
      </c>
      <c r="B130" s="61" t="s">
        <v>1210</v>
      </c>
      <c r="C130" s="92" t="s">
        <v>1211</v>
      </c>
      <c r="D130" s="61" t="s">
        <v>1212</v>
      </c>
      <c r="E130" s="138" t="s">
        <v>440</v>
      </c>
      <c r="F130" s="79" t="s">
        <v>1226</v>
      </c>
      <c r="G130" s="102" t="s">
        <v>1230</v>
      </c>
      <c r="H130" s="79" t="s">
        <v>449</v>
      </c>
      <c r="I130" s="79" t="s">
        <v>323</v>
      </c>
      <c r="J130" s="73" t="s">
        <v>442</v>
      </c>
      <c r="K130" s="75" t="s">
        <v>443</v>
      </c>
      <c r="L130" s="75" t="s">
        <v>419</v>
      </c>
      <c r="M130" s="75" t="s">
        <v>1515</v>
      </c>
      <c r="N130" s="75"/>
      <c r="O130" s="75"/>
      <c r="P130" s="88">
        <v>1</v>
      </c>
      <c r="Q130" s="76"/>
      <c r="R130" s="88">
        <v>1</v>
      </c>
      <c r="S130" s="77"/>
      <c r="T130" s="192"/>
      <c r="U130" s="192"/>
      <c r="V130" s="192"/>
      <c r="W130" s="192"/>
      <c r="X130" s="192"/>
      <c r="Y130" s="192"/>
      <c r="Z130" s="192"/>
      <c r="AA130" s="192"/>
      <c r="AB130" s="192"/>
      <c r="AC130" s="192"/>
      <c r="AD130" s="192"/>
      <c r="AE130" s="17" t="s">
        <v>450</v>
      </c>
      <c r="AF130" s="18" t="s">
        <v>442</v>
      </c>
    </row>
    <row r="131" spans="1:32" ht="79.2" x14ac:dyDescent="0.35">
      <c r="A131" s="60">
        <v>3</v>
      </c>
      <c r="B131" s="61" t="s">
        <v>1210</v>
      </c>
      <c r="C131" s="92" t="s">
        <v>1211</v>
      </c>
      <c r="D131" s="61" t="s">
        <v>1212</v>
      </c>
      <c r="E131" s="138" t="s">
        <v>440</v>
      </c>
      <c r="F131" s="79" t="s">
        <v>1226</v>
      </c>
      <c r="G131" s="102" t="s">
        <v>1230</v>
      </c>
      <c r="H131" s="79" t="s">
        <v>449</v>
      </c>
      <c r="I131" s="79" t="s">
        <v>323</v>
      </c>
      <c r="J131" s="73" t="s">
        <v>442</v>
      </c>
      <c r="K131" s="75" t="s">
        <v>443</v>
      </c>
      <c r="L131" s="75" t="s">
        <v>421</v>
      </c>
      <c r="M131" s="75" t="s">
        <v>1515</v>
      </c>
      <c r="N131" s="75"/>
      <c r="O131" s="75"/>
      <c r="P131" s="88">
        <v>1</v>
      </c>
      <c r="Q131" s="76"/>
      <c r="R131" s="88">
        <v>1</v>
      </c>
      <c r="S131" s="77"/>
      <c r="T131" s="192"/>
      <c r="U131" s="192"/>
      <c r="V131" s="192"/>
      <c r="W131" s="192"/>
      <c r="X131" s="192"/>
      <c r="Y131" s="192"/>
      <c r="Z131" s="192"/>
      <c r="AA131" s="192"/>
      <c r="AB131" s="192"/>
      <c r="AC131" s="192"/>
      <c r="AD131" s="192"/>
      <c r="AE131" s="21" t="s">
        <v>451</v>
      </c>
      <c r="AF131" s="21" t="s">
        <v>442</v>
      </c>
    </row>
    <row r="132" spans="1:32" ht="79.2" x14ac:dyDescent="0.35">
      <c r="A132" s="60">
        <v>3</v>
      </c>
      <c r="B132" s="61" t="s">
        <v>1210</v>
      </c>
      <c r="C132" s="92" t="s">
        <v>1211</v>
      </c>
      <c r="D132" s="61" t="s">
        <v>1212</v>
      </c>
      <c r="E132" s="138" t="s">
        <v>440</v>
      </c>
      <c r="F132" s="79" t="s">
        <v>1226</v>
      </c>
      <c r="G132" s="102" t="s">
        <v>1231</v>
      </c>
      <c r="H132" s="75" t="s">
        <v>452</v>
      </c>
      <c r="I132" s="75" t="s">
        <v>323</v>
      </c>
      <c r="J132" s="73" t="s">
        <v>442</v>
      </c>
      <c r="K132" s="75" t="s">
        <v>443</v>
      </c>
      <c r="L132" s="75" t="s">
        <v>423</v>
      </c>
      <c r="M132" s="75" t="s">
        <v>1515</v>
      </c>
      <c r="N132" s="75"/>
      <c r="O132" s="75"/>
      <c r="P132" s="76">
        <v>12</v>
      </c>
      <c r="Q132" s="76"/>
      <c r="R132" s="76">
        <v>2</v>
      </c>
      <c r="S132" s="77">
        <v>10</v>
      </c>
      <c r="T132" s="192"/>
      <c r="U132" s="192"/>
      <c r="V132" s="192"/>
      <c r="W132" s="192"/>
      <c r="X132" s="192"/>
      <c r="Y132" s="192"/>
      <c r="Z132" s="192"/>
      <c r="AA132" s="192"/>
      <c r="AB132" s="192"/>
      <c r="AC132" s="192"/>
      <c r="AD132" s="192"/>
      <c r="AE132" s="17" t="s">
        <v>424</v>
      </c>
      <c r="AF132" s="18" t="s">
        <v>442</v>
      </c>
    </row>
    <row r="133" spans="1:32" ht="66" x14ac:dyDescent="0.35">
      <c r="A133" s="60">
        <v>3</v>
      </c>
      <c r="B133" s="61" t="s">
        <v>1210</v>
      </c>
      <c r="C133" s="92" t="s">
        <v>1211</v>
      </c>
      <c r="D133" s="61" t="s">
        <v>1212</v>
      </c>
      <c r="E133" s="138" t="s">
        <v>453</v>
      </c>
      <c r="F133" s="79" t="s">
        <v>454</v>
      </c>
      <c r="G133" s="102" t="s">
        <v>1232</v>
      </c>
      <c r="H133" s="75" t="s">
        <v>455</v>
      </c>
      <c r="I133" s="75" t="s">
        <v>323</v>
      </c>
      <c r="J133" s="73" t="s">
        <v>456</v>
      </c>
      <c r="K133" s="75" t="s">
        <v>457</v>
      </c>
      <c r="L133" s="75" t="s">
        <v>458</v>
      </c>
      <c r="M133" s="75" t="s">
        <v>1515</v>
      </c>
      <c r="N133" s="75"/>
      <c r="O133" s="75"/>
      <c r="P133" s="88">
        <v>1</v>
      </c>
      <c r="Q133" s="88">
        <v>1</v>
      </c>
      <c r="R133" s="76"/>
      <c r="S133" s="77"/>
      <c r="T133" s="192"/>
      <c r="U133" s="192"/>
      <c r="V133" s="192"/>
      <c r="W133" s="192"/>
      <c r="X133" s="192"/>
      <c r="Y133" s="192"/>
      <c r="Z133" s="192"/>
      <c r="AA133" s="192"/>
      <c r="AB133" s="192"/>
      <c r="AC133" s="192"/>
      <c r="AD133" s="192"/>
      <c r="AE133" s="21" t="s">
        <v>459</v>
      </c>
      <c r="AF133" s="21" t="s">
        <v>456</v>
      </c>
    </row>
    <row r="134" spans="1:32" ht="66" x14ac:dyDescent="0.35">
      <c r="A134" s="60">
        <v>3</v>
      </c>
      <c r="B134" s="61" t="s">
        <v>1210</v>
      </c>
      <c r="C134" s="92" t="s">
        <v>1211</v>
      </c>
      <c r="D134" s="61" t="s">
        <v>1212</v>
      </c>
      <c r="E134" s="138" t="s">
        <v>453</v>
      </c>
      <c r="F134" s="79" t="s">
        <v>454</v>
      </c>
      <c r="G134" s="102" t="s">
        <v>1233</v>
      </c>
      <c r="H134" s="75" t="s">
        <v>460</v>
      </c>
      <c r="I134" s="75" t="s">
        <v>323</v>
      </c>
      <c r="J134" s="73" t="s">
        <v>456</v>
      </c>
      <c r="K134" s="75" t="s">
        <v>457</v>
      </c>
      <c r="L134" s="75" t="s">
        <v>461</v>
      </c>
      <c r="M134" s="75" t="s">
        <v>1515</v>
      </c>
      <c r="N134" s="75"/>
      <c r="O134" s="75"/>
      <c r="P134" s="88">
        <v>1</v>
      </c>
      <c r="Q134" s="88">
        <v>1</v>
      </c>
      <c r="R134" s="76"/>
      <c r="S134" s="77"/>
      <c r="T134" s="192"/>
      <c r="U134" s="192"/>
      <c r="V134" s="192"/>
      <c r="W134" s="192"/>
      <c r="X134" s="192"/>
      <c r="Y134" s="192"/>
      <c r="Z134" s="192"/>
      <c r="AA134" s="192"/>
      <c r="AB134" s="192"/>
      <c r="AC134" s="192"/>
      <c r="AD134" s="192"/>
      <c r="AE134" s="17" t="s">
        <v>462</v>
      </c>
      <c r="AF134" s="18" t="s">
        <v>456</v>
      </c>
    </row>
    <row r="135" spans="1:32" ht="66" x14ac:dyDescent="0.35">
      <c r="A135" s="60">
        <v>3</v>
      </c>
      <c r="B135" s="61" t="s">
        <v>1210</v>
      </c>
      <c r="C135" s="92" t="s">
        <v>1211</v>
      </c>
      <c r="D135" s="61" t="s">
        <v>1212</v>
      </c>
      <c r="E135" s="138" t="s">
        <v>453</v>
      </c>
      <c r="F135" s="79" t="s">
        <v>454</v>
      </c>
      <c r="G135" s="102" t="s">
        <v>1234</v>
      </c>
      <c r="H135" s="75" t="s">
        <v>463</v>
      </c>
      <c r="I135" s="75" t="s">
        <v>323</v>
      </c>
      <c r="J135" s="73" t="s">
        <v>456</v>
      </c>
      <c r="K135" s="75" t="s">
        <v>457</v>
      </c>
      <c r="L135" s="75" t="s">
        <v>464</v>
      </c>
      <c r="M135" s="75" t="s">
        <v>1515</v>
      </c>
      <c r="N135" s="75"/>
      <c r="O135" s="75"/>
      <c r="P135" s="76">
        <v>1</v>
      </c>
      <c r="Q135" s="76"/>
      <c r="R135" s="76">
        <v>1</v>
      </c>
      <c r="S135" s="77"/>
      <c r="T135" s="192"/>
      <c r="U135" s="192"/>
      <c r="V135" s="192"/>
      <c r="W135" s="192"/>
      <c r="X135" s="192"/>
      <c r="Y135" s="192"/>
      <c r="Z135" s="192"/>
      <c r="AA135" s="192"/>
      <c r="AB135" s="192"/>
      <c r="AC135" s="192"/>
      <c r="AD135" s="192"/>
      <c r="AE135" s="21" t="s">
        <v>465</v>
      </c>
      <c r="AF135" s="21" t="s">
        <v>456</v>
      </c>
    </row>
    <row r="136" spans="1:32" ht="66" x14ac:dyDescent="0.35">
      <c r="A136" s="60">
        <v>3</v>
      </c>
      <c r="B136" s="61" t="s">
        <v>1210</v>
      </c>
      <c r="C136" s="92" t="s">
        <v>1211</v>
      </c>
      <c r="D136" s="61" t="s">
        <v>1212</v>
      </c>
      <c r="E136" s="138" t="s">
        <v>453</v>
      </c>
      <c r="F136" s="79" t="s">
        <v>454</v>
      </c>
      <c r="G136" s="102" t="s">
        <v>1235</v>
      </c>
      <c r="H136" s="75" t="s">
        <v>466</v>
      </c>
      <c r="I136" s="75" t="s">
        <v>323</v>
      </c>
      <c r="J136" s="73" t="s">
        <v>456</v>
      </c>
      <c r="K136" s="75" t="s">
        <v>457</v>
      </c>
      <c r="L136" s="75" t="s">
        <v>467</v>
      </c>
      <c r="M136" s="75" t="s">
        <v>1515</v>
      </c>
      <c r="N136" s="75"/>
      <c r="O136" s="75"/>
      <c r="P136" s="76">
        <v>1</v>
      </c>
      <c r="Q136" s="76"/>
      <c r="R136" s="76"/>
      <c r="S136" s="77">
        <v>1</v>
      </c>
      <c r="T136" s="192"/>
      <c r="U136" s="192"/>
      <c r="V136" s="192"/>
      <c r="W136" s="192"/>
      <c r="X136" s="192"/>
      <c r="Y136" s="192"/>
      <c r="Z136" s="192"/>
      <c r="AA136" s="192"/>
      <c r="AB136" s="192"/>
      <c r="AC136" s="192"/>
      <c r="AD136" s="192"/>
      <c r="AE136" s="17" t="s">
        <v>468</v>
      </c>
      <c r="AF136" s="18" t="s">
        <v>456</v>
      </c>
    </row>
    <row r="137" spans="1:32" ht="66" x14ac:dyDescent="0.35">
      <c r="A137" s="60">
        <v>3</v>
      </c>
      <c r="B137" s="61" t="s">
        <v>1210</v>
      </c>
      <c r="C137" s="92" t="s">
        <v>1211</v>
      </c>
      <c r="D137" s="61" t="s">
        <v>1212</v>
      </c>
      <c r="E137" s="138" t="s">
        <v>469</v>
      </c>
      <c r="F137" s="79" t="s">
        <v>470</v>
      </c>
      <c r="G137" s="102" t="s">
        <v>1236</v>
      </c>
      <c r="H137" s="81" t="s">
        <v>1238</v>
      </c>
      <c r="I137" s="75" t="s">
        <v>323</v>
      </c>
      <c r="J137" s="73" t="s">
        <v>456</v>
      </c>
      <c r="K137" s="75" t="s">
        <v>471</v>
      </c>
      <c r="L137" s="75" t="s">
        <v>472</v>
      </c>
      <c r="M137" s="69" t="s">
        <v>1516</v>
      </c>
      <c r="N137" s="75"/>
      <c r="O137" s="75"/>
      <c r="P137" s="76">
        <v>1</v>
      </c>
      <c r="Q137" s="76">
        <v>1</v>
      </c>
      <c r="R137" s="76"/>
      <c r="S137" s="77"/>
      <c r="T137" s="192"/>
      <c r="U137" s="192"/>
      <c r="V137" s="192"/>
      <c r="W137" s="192"/>
      <c r="X137" s="192"/>
      <c r="Y137" s="192"/>
      <c r="Z137" s="192"/>
      <c r="AA137" s="192"/>
      <c r="AB137" s="192"/>
      <c r="AC137" s="192"/>
      <c r="AD137" s="192"/>
      <c r="AE137" s="20"/>
      <c r="AF137" s="20"/>
    </row>
    <row r="138" spans="1:32" ht="66" x14ac:dyDescent="0.35">
      <c r="A138" s="60">
        <v>3</v>
      </c>
      <c r="B138" s="61" t="s">
        <v>1210</v>
      </c>
      <c r="C138" s="92" t="s">
        <v>1211</v>
      </c>
      <c r="D138" s="61" t="s">
        <v>1212</v>
      </c>
      <c r="E138" s="138" t="s">
        <v>469</v>
      </c>
      <c r="F138" s="79" t="s">
        <v>470</v>
      </c>
      <c r="G138" s="102" t="s">
        <v>1237</v>
      </c>
      <c r="H138" s="81" t="s">
        <v>473</v>
      </c>
      <c r="I138" s="75" t="s">
        <v>323</v>
      </c>
      <c r="J138" s="73" t="s">
        <v>456</v>
      </c>
      <c r="K138" s="75" t="s">
        <v>471</v>
      </c>
      <c r="L138" s="75" t="s">
        <v>474</v>
      </c>
      <c r="M138" s="69" t="s">
        <v>1516</v>
      </c>
      <c r="N138" s="75"/>
      <c r="O138" s="75"/>
      <c r="P138" s="76">
        <v>1</v>
      </c>
      <c r="Q138" s="76">
        <v>1</v>
      </c>
      <c r="R138" s="76"/>
      <c r="S138" s="77"/>
      <c r="T138" s="192"/>
      <c r="U138" s="192"/>
      <c r="V138" s="192"/>
      <c r="W138" s="192"/>
      <c r="X138" s="192"/>
      <c r="Y138" s="192"/>
      <c r="Z138" s="192"/>
      <c r="AA138" s="192"/>
      <c r="AB138" s="192"/>
      <c r="AC138" s="192"/>
      <c r="AD138" s="192"/>
      <c r="AE138" s="17" t="s">
        <v>475</v>
      </c>
      <c r="AF138" s="18" t="s">
        <v>456</v>
      </c>
    </row>
    <row r="139" spans="1:32" ht="92.4" x14ac:dyDescent="0.35">
      <c r="A139" s="60">
        <v>3</v>
      </c>
      <c r="B139" s="61" t="s">
        <v>1210</v>
      </c>
      <c r="C139" s="92" t="s">
        <v>1239</v>
      </c>
      <c r="D139" s="61" t="s">
        <v>1240</v>
      </c>
      <c r="E139" s="144" t="s">
        <v>476</v>
      </c>
      <c r="F139" s="98" t="s">
        <v>1241</v>
      </c>
      <c r="G139" s="102" t="s">
        <v>1242</v>
      </c>
      <c r="H139" s="81" t="s">
        <v>477</v>
      </c>
      <c r="I139" s="75" t="s">
        <v>323</v>
      </c>
      <c r="J139" s="73" t="s">
        <v>380</v>
      </c>
      <c r="K139" s="75" t="s">
        <v>321</v>
      </c>
      <c r="L139" s="75" t="s">
        <v>478</v>
      </c>
      <c r="M139" s="75" t="s">
        <v>1515</v>
      </c>
      <c r="N139" s="75"/>
      <c r="O139" s="75"/>
      <c r="P139" s="76">
        <v>1</v>
      </c>
      <c r="Q139" s="76">
        <v>1</v>
      </c>
      <c r="R139" s="76"/>
      <c r="S139" s="77"/>
      <c r="T139" s="192"/>
      <c r="U139" s="192"/>
      <c r="V139" s="192"/>
      <c r="W139" s="192"/>
      <c r="X139" s="192"/>
      <c r="Y139" s="192"/>
      <c r="Z139" s="192"/>
      <c r="AA139" s="192"/>
      <c r="AB139" s="192"/>
      <c r="AC139" s="192"/>
      <c r="AD139" s="192"/>
      <c r="AE139" s="22" t="s">
        <v>479</v>
      </c>
      <c r="AF139" s="21" t="s">
        <v>380</v>
      </c>
    </row>
    <row r="140" spans="1:32" ht="92.4" x14ac:dyDescent="0.35">
      <c r="A140" s="60">
        <v>3</v>
      </c>
      <c r="B140" s="61" t="s">
        <v>1210</v>
      </c>
      <c r="C140" s="92" t="s">
        <v>1239</v>
      </c>
      <c r="D140" s="61" t="s">
        <v>1240</v>
      </c>
      <c r="E140" s="144" t="s">
        <v>476</v>
      </c>
      <c r="F140" s="98" t="s">
        <v>1241</v>
      </c>
      <c r="G140" s="102" t="s">
        <v>1243</v>
      </c>
      <c r="H140" s="81" t="s">
        <v>480</v>
      </c>
      <c r="I140" s="75" t="s">
        <v>321</v>
      </c>
      <c r="J140" s="94" t="s">
        <v>411</v>
      </c>
      <c r="K140" s="75" t="s">
        <v>323</v>
      </c>
      <c r="L140" s="75" t="s">
        <v>478</v>
      </c>
      <c r="M140" s="75" t="s">
        <v>1515</v>
      </c>
      <c r="N140" s="75"/>
      <c r="O140" s="75"/>
      <c r="P140" s="76">
        <v>1</v>
      </c>
      <c r="Q140" s="76">
        <v>1</v>
      </c>
      <c r="R140" s="76"/>
      <c r="S140" s="77"/>
      <c r="T140" s="192"/>
      <c r="U140" s="192"/>
      <c r="V140" s="192"/>
      <c r="W140" s="192"/>
      <c r="X140" s="192"/>
      <c r="Y140" s="192"/>
      <c r="Z140" s="192"/>
      <c r="AA140" s="192"/>
      <c r="AB140" s="192"/>
      <c r="AC140" s="192"/>
      <c r="AD140" s="192"/>
      <c r="AE140" s="17" t="s">
        <v>479</v>
      </c>
      <c r="AF140" s="17" t="s">
        <v>380</v>
      </c>
    </row>
    <row r="141" spans="1:32" ht="92.4" x14ac:dyDescent="0.35">
      <c r="A141" s="60">
        <v>3</v>
      </c>
      <c r="B141" s="61" t="s">
        <v>1210</v>
      </c>
      <c r="C141" s="92" t="s">
        <v>1239</v>
      </c>
      <c r="D141" s="61" t="s">
        <v>1240</v>
      </c>
      <c r="E141" s="144" t="s">
        <v>476</v>
      </c>
      <c r="F141" s="98" t="s">
        <v>1241</v>
      </c>
      <c r="G141" s="102" t="s">
        <v>1244</v>
      </c>
      <c r="H141" s="81" t="s">
        <v>481</v>
      </c>
      <c r="I141" s="75" t="s">
        <v>323</v>
      </c>
      <c r="J141" s="73" t="s">
        <v>380</v>
      </c>
      <c r="K141" s="75" t="s">
        <v>321</v>
      </c>
      <c r="L141" s="75" t="s">
        <v>482</v>
      </c>
      <c r="M141" s="75" t="s">
        <v>1515</v>
      </c>
      <c r="N141" s="75"/>
      <c r="O141" s="75"/>
      <c r="P141" s="76">
        <v>1</v>
      </c>
      <c r="Q141" s="76">
        <v>1</v>
      </c>
      <c r="R141" s="76"/>
      <c r="S141" s="77"/>
      <c r="T141" s="192"/>
      <c r="U141" s="192"/>
      <c r="V141" s="192"/>
      <c r="W141" s="192"/>
      <c r="X141" s="192"/>
      <c r="Y141" s="192"/>
      <c r="Z141" s="192"/>
      <c r="AA141" s="192"/>
      <c r="AB141" s="192"/>
      <c r="AC141" s="192"/>
      <c r="AD141" s="192"/>
      <c r="AE141" s="20" t="s">
        <v>483</v>
      </c>
      <c r="AF141" s="21" t="s">
        <v>380</v>
      </c>
    </row>
    <row r="142" spans="1:32" ht="92.4" x14ac:dyDescent="0.35">
      <c r="A142" s="60">
        <v>3</v>
      </c>
      <c r="B142" s="61" t="s">
        <v>1210</v>
      </c>
      <c r="C142" s="92" t="s">
        <v>1239</v>
      </c>
      <c r="D142" s="61" t="s">
        <v>1240</v>
      </c>
      <c r="E142" s="144" t="s">
        <v>476</v>
      </c>
      <c r="F142" s="98" t="s">
        <v>1241</v>
      </c>
      <c r="G142" s="102" t="s">
        <v>1245</v>
      </c>
      <c r="H142" s="81" t="s">
        <v>484</v>
      </c>
      <c r="I142" s="75" t="s">
        <v>321</v>
      </c>
      <c r="J142" s="94" t="s">
        <v>411</v>
      </c>
      <c r="K142" s="75" t="s">
        <v>323</v>
      </c>
      <c r="L142" s="75" t="s">
        <v>485</v>
      </c>
      <c r="M142" s="75" t="s">
        <v>1515</v>
      </c>
      <c r="N142" s="75"/>
      <c r="O142" s="75"/>
      <c r="P142" s="88">
        <v>1</v>
      </c>
      <c r="Q142" s="88">
        <v>1</v>
      </c>
      <c r="R142" s="76"/>
      <c r="S142" s="77"/>
      <c r="T142" s="192"/>
      <c r="U142" s="192"/>
      <c r="V142" s="192"/>
      <c r="W142" s="192"/>
      <c r="X142" s="192"/>
      <c r="Y142" s="192"/>
      <c r="Z142" s="192"/>
      <c r="AA142" s="192"/>
      <c r="AB142" s="192"/>
      <c r="AC142" s="192"/>
      <c r="AD142" s="192"/>
      <c r="AE142" s="17" t="s">
        <v>486</v>
      </c>
      <c r="AF142" s="26" t="s">
        <v>411</v>
      </c>
    </row>
    <row r="143" spans="1:32" ht="92.4" x14ac:dyDescent="0.35">
      <c r="A143" s="60">
        <v>3</v>
      </c>
      <c r="B143" s="61" t="s">
        <v>1210</v>
      </c>
      <c r="C143" s="92" t="s">
        <v>1239</v>
      </c>
      <c r="D143" s="61" t="s">
        <v>1240</v>
      </c>
      <c r="E143" s="144" t="s">
        <v>476</v>
      </c>
      <c r="F143" s="98" t="s">
        <v>1241</v>
      </c>
      <c r="G143" s="102" t="s">
        <v>1246</v>
      </c>
      <c r="H143" s="81" t="s">
        <v>487</v>
      </c>
      <c r="I143" s="75" t="s">
        <v>323</v>
      </c>
      <c r="J143" s="73" t="s">
        <v>488</v>
      </c>
      <c r="K143" s="75" t="s">
        <v>489</v>
      </c>
      <c r="L143" s="75" t="s">
        <v>490</v>
      </c>
      <c r="M143" s="75" t="s">
        <v>1515</v>
      </c>
      <c r="N143" s="75"/>
      <c r="O143" s="75"/>
      <c r="P143" s="76">
        <v>0</v>
      </c>
      <c r="Q143" s="76"/>
      <c r="R143" s="76">
        <v>5</v>
      </c>
      <c r="S143" s="77"/>
      <c r="T143" s="192"/>
      <c r="U143" s="192"/>
      <c r="V143" s="192"/>
      <c r="W143" s="192"/>
      <c r="X143" s="192"/>
      <c r="Y143" s="192"/>
      <c r="Z143" s="192"/>
      <c r="AA143" s="192"/>
      <c r="AB143" s="192"/>
      <c r="AC143" s="192"/>
      <c r="AD143" s="192"/>
      <c r="AE143" s="20" t="s">
        <v>491</v>
      </c>
      <c r="AF143" s="21" t="s">
        <v>488</v>
      </c>
    </row>
    <row r="144" spans="1:32" ht="92.4" x14ac:dyDescent="0.35">
      <c r="A144" s="60">
        <v>3</v>
      </c>
      <c r="B144" s="61" t="s">
        <v>1210</v>
      </c>
      <c r="C144" s="92" t="s">
        <v>1239</v>
      </c>
      <c r="D144" s="61" t="s">
        <v>1240</v>
      </c>
      <c r="E144" s="144" t="s">
        <v>476</v>
      </c>
      <c r="F144" s="98" t="s">
        <v>1241</v>
      </c>
      <c r="G144" s="102" t="s">
        <v>1247</v>
      </c>
      <c r="H144" s="81" t="s">
        <v>492</v>
      </c>
      <c r="I144" s="75" t="s">
        <v>323</v>
      </c>
      <c r="J144" s="73" t="s">
        <v>456</v>
      </c>
      <c r="K144" s="75" t="s">
        <v>51</v>
      </c>
      <c r="L144" s="75" t="s">
        <v>493</v>
      </c>
      <c r="M144" s="75" t="s">
        <v>1515</v>
      </c>
      <c r="N144" s="75"/>
      <c r="O144" s="75"/>
      <c r="P144" s="88">
        <v>1</v>
      </c>
      <c r="Q144" s="76"/>
      <c r="R144" s="88">
        <v>1</v>
      </c>
      <c r="S144" s="77"/>
      <c r="T144" s="192"/>
      <c r="U144" s="192"/>
      <c r="V144" s="192"/>
      <c r="W144" s="192"/>
      <c r="X144" s="192"/>
      <c r="Y144" s="192"/>
      <c r="Z144" s="192"/>
      <c r="AA144" s="192"/>
      <c r="AB144" s="192"/>
      <c r="AC144" s="192"/>
      <c r="AD144" s="192"/>
      <c r="AE144" s="17" t="s">
        <v>494</v>
      </c>
      <c r="AF144" s="18" t="s">
        <v>456</v>
      </c>
    </row>
    <row r="145" spans="1:32" ht="92.4" x14ac:dyDescent="0.35">
      <c r="A145" s="60">
        <v>3</v>
      </c>
      <c r="B145" s="61" t="s">
        <v>1210</v>
      </c>
      <c r="C145" s="92" t="s">
        <v>1239</v>
      </c>
      <c r="D145" s="61" t="s">
        <v>1240</v>
      </c>
      <c r="E145" s="144" t="s">
        <v>476</v>
      </c>
      <c r="F145" s="98" t="s">
        <v>1241</v>
      </c>
      <c r="G145" s="102" t="s">
        <v>1248</v>
      </c>
      <c r="H145" s="81" t="s">
        <v>495</v>
      </c>
      <c r="I145" s="75" t="s">
        <v>323</v>
      </c>
      <c r="J145" s="73" t="s">
        <v>380</v>
      </c>
      <c r="K145" s="75" t="s">
        <v>489</v>
      </c>
      <c r="L145" s="75" t="s">
        <v>496</v>
      </c>
      <c r="M145" s="75" t="s">
        <v>1515</v>
      </c>
      <c r="N145" s="75"/>
      <c r="O145" s="75"/>
      <c r="P145" s="76">
        <v>6</v>
      </c>
      <c r="Q145" s="76"/>
      <c r="R145" s="76">
        <v>1</v>
      </c>
      <c r="S145" s="77">
        <v>5</v>
      </c>
      <c r="T145" s="192"/>
      <c r="U145" s="192"/>
      <c r="V145" s="192"/>
      <c r="W145" s="192"/>
      <c r="X145" s="192"/>
      <c r="Y145" s="192"/>
      <c r="Z145" s="192"/>
      <c r="AA145" s="192"/>
      <c r="AB145" s="192"/>
      <c r="AC145" s="192"/>
      <c r="AD145" s="192"/>
      <c r="AE145" s="20" t="s">
        <v>497</v>
      </c>
      <c r="AF145" s="21" t="s">
        <v>380</v>
      </c>
    </row>
    <row r="146" spans="1:32" ht="92.4" x14ac:dyDescent="0.35">
      <c r="A146" s="60">
        <v>3</v>
      </c>
      <c r="B146" s="61" t="s">
        <v>1210</v>
      </c>
      <c r="C146" s="92" t="s">
        <v>1239</v>
      </c>
      <c r="D146" s="61" t="s">
        <v>1240</v>
      </c>
      <c r="E146" s="144" t="s">
        <v>476</v>
      </c>
      <c r="F146" s="98" t="s">
        <v>1241</v>
      </c>
      <c r="G146" s="102" t="s">
        <v>1249</v>
      </c>
      <c r="H146" s="81" t="s">
        <v>498</v>
      </c>
      <c r="I146" s="75" t="s">
        <v>321</v>
      </c>
      <c r="J146" s="94" t="s">
        <v>411</v>
      </c>
      <c r="K146" s="75" t="s">
        <v>499</v>
      </c>
      <c r="L146" s="75" t="s">
        <v>496</v>
      </c>
      <c r="M146" s="75" t="s">
        <v>1515</v>
      </c>
      <c r="N146" s="75"/>
      <c r="O146" s="75"/>
      <c r="P146" s="76">
        <v>6</v>
      </c>
      <c r="Q146" s="76"/>
      <c r="R146" s="76">
        <v>1</v>
      </c>
      <c r="S146" s="77">
        <v>5</v>
      </c>
      <c r="T146" s="192"/>
      <c r="U146" s="192"/>
      <c r="V146" s="192"/>
      <c r="W146" s="192"/>
      <c r="X146" s="192"/>
      <c r="Y146" s="192"/>
      <c r="Z146" s="192"/>
      <c r="AA146" s="192"/>
      <c r="AB146" s="192"/>
      <c r="AC146" s="192"/>
      <c r="AD146" s="192"/>
      <c r="AE146" s="17" t="s">
        <v>497</v>
      </c>
      <c r="AF146" s="26" t="s">
        <v>411</v>
      </c>
    </row>
    <row r="147" spans="1:32" ht="92.4" x14ac:dyDescent="0.35">
      <c r="A147" s="60">
        <v>3</v>
      </c>
      <c r="B147" s="61" t="s">
        <v>1210</v>
      </c>
      <c r="C147" s="92" t="s">
        <v>1239</v>
      </c>
      <c r="D147" s="61" t="s">
        <v>1240</v>
      </c>
      <c r="E147" s="138" t="s">
        <v>500</v>
      </c>
      <c r="F147" s="79" t="s">
        <v>501</v>
      </c>
      <c r="G147" s="102" t="s">
        <v>1250</v>
      </c>
      <c r="H147" s="75" t="s">
        <v>502</v>
      </c>
      <c r="I147" s="75" t="s">
        <v>51</v>
      </c>
      <c r="J147" s="73" t="s">
        <v>70</v>
      </c>
      <c r="K147" s="75" t="s">
        <v>396</v>
      </c>
      <c r="L147" s="75" t="s">
        <v>503</v>
      </c>
      <c r="M147" s="75" t="s">
        <v>1515</v>
      </c>
      <c r="N147" s="75"/>
      <c r="O147" s="75"/>
      <c r="P147" s="76">
        <v>1</v>
      </c>
      <c r="Q147" s="76">
        <v>1</v>
      </c>
      <c r="R147" s="76"/>
      <c r="S147" s="77"/>
      <c r="T147" s="192"/>
      <c r="U147" s="192"/>
      <c r="V147" s="192"/>
      <c r="W147" s="192"/>
      <c r="X147" s="192"/>
      <c r="Y147" s="192"/>
      <c r="Z147" s="192"/>
      <c r="AA147" s="192"/>
      <c r="AB147" s="192"/>
      <c r="AC147" s="192"/>
      <c r="AD147" s="192"/>
      <c r="AE147" s="20" t="s">
        <v>504</v>
      </c>
      <c r="AF147" s="21" t="s">
        <v>70</v>
      </c>
    </row>
    <row r="148" spans="1:32" ht="92.4" x14ac:dyDescent="0.35">
      <c r="A148" s="60">
        <v>3</v>
      </c>
      <c r="B148" s="61" t="s">
        <v>1210</v>
      </c>
      <c r="C148" s="92" t="s">
        <v>1239</v>
      </c>
      <c r="D148" s="61" t="s">
        <v>1240</v>
      </c>
      <c r="E148" s="138" t="s">
        <v>500</v>
      </c>
      <c r="F148" s="79" t="s">
        <v>501</v>
      </c>
      <c r="G148" s="102" t="s">
        <v>1251</v>
      </c>
      <c r="H148" s="75" t="s">
        <v>505</v>
      </c>
      <c r="I148" s="75" t="s">
        <v>51</v>
      </c>
      <c r="J148" s="73" t="s">
        <v>70</v>
      </c>
      <c r="K148" s="75" t="s">
        <v>396</v>
      </c>
      <c r="L148" s="75" t="s">
        <v>506</v>
      </c>
      <c r="M148" s="75" t="s">
        <v>1515</v>
      </c>
      <c r="N148" s="75"/>
      <c r="O148" s="75"/>
      <c r="P148" s="88">
        <v>1</v>
      </c>
      <c r="Q148" s="88">
        <v>1</v>
      </c>
      <c r="R148" s="76"/>
      <c r="S148" s="77"/>
      <c r="T148" s="192"/>
      <c r="U148" s="192"/>
      <c r="V148" s="192"/>
      <c r="W148" s="192"/>
      <c r="X148" s="192"/>
      <c r="Y148" s="192"/>
      <c r="Z148" s="192"/>
      <c r="AA148" s="192"/>
      <c r="AB148" s="192"/>
      <c r="AC148" s="192"/>
      <c r="AD148" s="192"/>
      <c r="AE148" s="17" t="s">
        <v>507</v>
      </c>
      <c r="AF148" s="18" t="s">
        <v>70</v>
      </c>
    </row>
    <row r="149" spans="1:32" ht="92.4" x14ac:dyDescent="0.35">
      <c r="A149" s="60">
        <v>3</v>
      </c>
      <c r="B149" s="61" t="s">
        <v>1210</v>
      </c>
      <c r="C149" s="92" t="s">
        <v>1239</v>
      </c>
      <c r="D149" s="61" t="s">
        <v>1240</v>
      </c>
      <c r="E149" s="138" t="s">
        <v>500</v>
      </c>
      <c r="F149" s="79" t="s">
        <v>501</v>
      </c>
      <c r="G149" s="102" t="s">
        <v>1252</v>
      </c>
      <c r="H149" s="75" t="s">
        <v>508</v>
      </c>
      <c r="I149" s="75" t="s">
        <v>51</v>
      </c>
      <c r="J149" s="73" t="s">
        <v>70</v>
      </c>
      <c r="K149" s="75" t="s">
        <v>396</v>
      </c>
      <c r="L149" s="75" t="s">
        <v>407</v>
      </c>
      <c r="M149" s="75" t="s">
        <v>1515</v>
      </c>
      <c r="N149" s="75"/>
      <c r="O149" s="75"/>
      <c r="P149" s="88">
        <v>1</v>
      </c>
      <c r="Q149" s="88">
        <v>0.25</v>
      </c>
      <c r="R149" s="88">
        <v>0.5</v>
      </c>
      <c r="S149" s="140">
        <v>1</v>
      </c>
      <c r="T149" s="199"/>
      <c r="U149" s="199"/>
      <c r="V149" s="199"/>
      <c r="W149" s="199"/>
      <c r="X149" s="199"/>
      <c r="Y149" s="199"/>
      <c r="Z149" s="199"/>
      <c r="AA149" s="199"/>
      <c r="AB149" s="199"/>
      <c r="AC149" s="199"/>
      <c r="AD149" s="199"/>
      <c r="AE149" s="20" t="str">
        <f t="shared" ref="AE149:AE212" si="1">_xlfn.TEXTBEFORE(TRIM(H149), " ", 4)</f>
        <v>Capacitação dos técnicos municipais</v>
      </c>
      <c r="AF149" s="21" t="s">
        <v>70</v>
      </c>
    </row>
    <row r="150" spans="1:32" ht="92.4" x14ac:dyDescent="0.35">
      <c r="A150" s="60">
        <v>3</v>
      </c>
      <c r="B150" s="61" t="s">
        <v>1210</v>
      </c>
      <c r="C150" s="92" t="s">
        <v>1239</v>
      </c>
      <c r="D150" s="61" t="s">
        <v>1240</v>
      </c>
      <c r="E150" s="138" t="s">
        <v>500</v>
      </c>
      <c r="F150" s="79" t="s">
        <v>501</v>
      </c>
      <c r="G150" s="102" t="s">
        <v>1253</v>
      </c>
      <c r="H150" s="75" t="s">
        <v>509</v>
      </c>
      <c r="I150" s="75" t="s">
        <v>51</v>
      </c>
      <c r="J150" s="73" t="s">
        <v>70</v>
      </c>
      <c r="K150" s="75" t="s">
        <v>146</v>
      </c>
      <c r="L150" s="75" t="s">
        <v>510</v>
      </c>
      <c r="M150" s="75" t="s">
        <v>1515</v>
      </c>
      <c r="N150" s="75"/>
      <c r="O150" s="75"/>
      <c r="P150" s="76">
        <v>10</v>
      </c>
      <c r="Q150" s="76">
        <v>2</v>
      </c>
      <c r="R150" s="76">
        <v>3</v>
      </c>
      <c r="S150" s="77">
        <v>5</v>
      </c>
      <c r="T150" s="192"/>
      <c r="U150" s="192"/>
      <c r="V150" s="192"/>
      <c r="W150" s="192"/>
      <c r="X150" s="192"/>
      <c r="Y150" s="192"/>
      <c r="Z150" s="192"/>
      <c r="AA150" s="192"/>
      <c r="AB150" s="192"/>
      <c r="AC150" s="192"/>
      <c r="AD150" s="192"/>
      <c r="AE150" s="17" t="str">
        <f t="shared" si="1"/>
        <v>Repasse de recursos financeiros</v>
      </c>
      <c r="AF150" s="18" t="s">
        <v>70</v>
      </c>
    </row>
    <row r="151" spans="1:32" ht="92.4" x14ac:dyDescent="0.35">
      <c r="A151" s="60">
        <v>3</v>
      </c>
      <c r="B151" s="61" t="s">
        <v>1210</v>
      </c>
      <c r="C151" s="92" t="s">
        <v>1239</v>
      </c>
      <c r="D151" s="61" t="s">
        <v>1240</v>
      </c>
      <c r="E151" s="138" t="s">
        <v>511</v>
      </c>
      <c r="F151" s="79" t="s">
        <v>512</v>
      </c>
      <c r="G151" s="102" t="s">
        <v>1254</v>
      </c>
      <c r="H151" s="75" t="s">
        <v>513</v>
      </c>
      <c r="I151" s="75" t="s">
        <v>323</v>
      </c>
      <c r="J151" s="73" t="s">
        <v>514</v>
      </c>
      <c r="K151" s="75" t="s">
        <v>515</v>
      </c>
      <c r="L151" s="75" t="s">
        <v>176</v>
      </c>
      <c r="M151" s="69" t="s">
        <v>1516</v>
      </c>
      <c r="N151" s="75"/>
      <c r="O151" s="75"/>
      <c r="P151" s="76">
        <v>1</v>
      </c>
      <c r="Q151" s="76">
        <v>1</v>
      </c>
      <c r="R151" s="76"/>
      <c r="S151" s="77"/>
      <c r="T151" s="192"/>
      <c r="U151" s="192"/>
      <c r="V151" s="192"/>
      <c r="W151" s="192"/>
      <c r="X151" s="192"/>
      <c r="Y151" s="192"/>
      <c r="Z151" s="192"/>
      <c r="AA151" s="192"/>
      <c r="AB151" s="192"/>
      <c r="AC151" s="192"/>
      <c r="AD151" s="192"/>
      <c r="AE151" s="20" t="str">
        <f t="shared" si="1"/>
        <v>Mapeamento e georreferenciamento de</v>
      </c>
      <c r="AF151" s="21" t="s">
        <v>514</v>
      </c>
    </row>
    <row r="152" spans="1:32" ht="92.4" x14ac:dyDescent="0.35">
      <c r="A152" s="60">
        <v>3</v>
      </c>
      <c r="B152" s="61" t="s">
        <v>1210</v>
      </c>
      <c r="C152" s="92" t="s">
        <v>1239</v>
      </c>
      <c r="D152" s="61" t="s">
        <v>1240</v>
      </c>
      <c r="E152" s="138" t="s">
        <v>511</v>
      </c>
      <c r="F152" s="79" t="s">
        <v>512</v>
      </c>
      <c r="G152" s="102" t="s">
        <v>1255</v>
      </c>
      <c r="H152" s="75" t="s">
        <v>516</v>
      </c>
      <c r="I152" s="75" t="s">
        <v>323</v>
      </c>
      <c r="J152" s="73" t="s">
        <v>514</v>
      </c>
      <c r="K152" s="75" t="s">
        <v>515</v>
      </c>
      <c r="L152" s="75" t="s">
        <v>517</v>
      </c>
      <c r="M152" s="69" t="s">
        <v>1516</v>
      </c>
      <c r="N152" s="75"/>
      <c r="O152" s="75"/>
      <c r="P152" s="76">
        <v>1</v>
      </c>
      <c r="Q152" s="76">
        <v>1</v>
      </c>
      <c r="R152" s="76"/>
      <c r="S152" s="77"/>
      <c r="T152" s="192"/>
      <c r="U152" s="192"/>
      <c r="V152" s="192"/>
      <c r="W152" s="192"/>
      <c r="X152" s="192"/>
      <c r="Y152" s="192"/>
      <c r="Z152" s="192"/>
      <c r="AA152" s="192"/>
      <c r="AB152" s="192"/>
      <c r="AC152" s="192"/>
      <c r="AD152" s="192"/>
      <c r="AE152" s="17" t="str">
        <f t="shared" si="1"/>
        <v>Elaboração de Plano estadual</v>
      </c>
      <c r="AF152" s="18" t="s">
        <v>514</v>
      </c>
    </row>
    <row r="153" spans="1:32" ht="92.4" x14ac:dyDescent="0.35">
      <c r="A153" s="60">
        <v>3</v>
      </c>
      <c r="B153" s="61" t="s">
        <v>1210</v>
      </c>
      <c r="C153" s="92" t="s">
        <v>1239</v>
      </c>
      <c r="D153" s="61" t="s">
        <v>1240</v>
      </c>
      <c r="E153" s="138" t="s">
        <v>511</v>
      </c>
      <c r="F153" s="79" t="s">
        <v>512</v>
      </c>
      <c r="G153" s="102" t="s">
        <v>1256</v>
      </c>
      <c r="H153" s="75" t="s">
        <v>518</v>
      </c>
      <c r="I153" s="75" t="s">
        <v>323</v>
      </c>
      <c r="J153" s="73" t="s">
        <v>514</v>
      </c>
      <c r="K153" s="75" t="s">
        <v>515</v>
      </c>
      <c r="L153" s="75" t="s">
        <v>519</v>
      </c>
      <c r="M153" s="69" t="s">
        <v>1516</v>
      </c>
      <c r="N153" s="75"/>
      <c r="O153" s="75"/>
      <c r="P153" s="76">
        <v>1</v>
      </c>
      <c r="Q153" s="76">
        <v>1</v>
      </c>
      <c r="R153" s="76"/>
      <c r="S153" s="77"/>
      <c r="T153" s="192"/>
      <c r="U153" s="192"/>
      <c r="V153" s="192"/>
      <c r="W153" s="192"/>
      <c r="X153" s="192"/>
      <c r="Y153" s="192"/>
      <c r="Z153" s="192"/>
      <c r="AA153" s="192"/>
      <c r="AB153" s="192"/>
      <c r="AC153" s="192"/>
      <c r="AD153" s="192"/>
      <c r="AE153" s="34" t="str">
        <f t="shared" si="1"/>
        <v>Elaboração de instrumento de</v>
      </c>
      <c r="AF153" s="20"/>
    </row>
    <row r="154" spans="1:32" ht="92.4" x14ac:dyDescent="0.35">
      <c r="A154" s="60">
        <v>3</v>
      </c>
      <c r="B154" s="61" t="s">
        <v>1210</v>
      </c>
      <c r="C154" s="92" t="s">
        <v>1239</v>
      </c>
      <c r="D154" s="61" t="s">
        <v>1240</v>
      </c>
      <c r="E154" s="138" t="s">
        <v>511</v>
      </c>
      <c r="F154" s="79" t="s">
        <v>512</v>
      </c>
      <c r="G154" s="102" t="s">
        <v>1257</v>
      </c>
      <c r="H154" s="79" t="s">
        <v>520</v>
      </c>
      <c r="I154" s="79" t="s">
        <v>323</v>
      </c>
      <c r="J154" s="79" t="s">
        <v>514</v>
      </c>
      <c r="K154" s="79" t="s">
        <v>515</v>
      </c>
      <c r="L154" s="75" t="s">
        <v>521</v>
      </c>
      <c r="M154" s="69" t="s">
        <v>1516</v>
      </c>
      <c r="N154" s="75"/>
      <c r="O154" s="75"/>
      <c r="P154" s="76">
        <v>150</v>
      </c>
      <c r="Q154" s="76"/>
      <c r="R154" s="76">
        <v>50</v>
      </c>
      <c r="S154" s="77">
        <v>100</v>
      </c>
      <c r="T154" s="192"/>
      <c r="U154" s="192"/>
      <c r="V154" s="192"/>
      <c r="W154" s="192"/>
      <c r="X154" s="192"/>
      <c r="Y154" s="192"/>
      <c r="Z154" s="192"/>
      <c r="AA154" s="192"/>
      <c r="AB154" s="192"/>
      <c r="AC154" s="192"/>
      <c r="AD154" s="192"/>
      <c r="AE154" s="17" t="str">
        <f t="shared" si="1"/>
        <v>Implantação de programa piloto</v>
      </c>
      <c r="AF154" s="17"/>
    </row>
    <row r="155" spans="1:32" ht="92.4" x14ac:dyDescent="0.35">
      <c r="A155" s="60">
        <v>3</v>
      </c>
      <c r="B155" s="61" t="s">
        <v>1210</v>
      </c>
      <c r="C155" s="92" t="s">
        <v>1239</v>
      </c>
      <c r="D155" s="61" t="s">
        <v>1240</v>
      </c>
      <c r="E155" s="138" t="s">
        <v>511</v>
      </c>
      <c r="F155" s="79" t="s">
        <v>512</v>
      </c>
      <c r="G155" s="102" t="s">
        <v>1257</v>
      </c>
      <c r="H155" s="79" t="s">
        <v>520</v>
      </c>
      <c r="I155" s="79" t="s">
        <v>323</v>
      </c>
      <c r="J155" s="79" t="s">
        <v>514</v>
      </c>
      <c r="K155" s="79" t="s">
        <v>515</v>
      </c>
      <c r="L155" s="75" t="s">
        <v>522</v>
      </c>
      <c r="M155" s="69" t="s">
        <v>1516</v>
      </c>
      <c r="N155" s="75"/>
      <c r="O155" s="75"/>
      <c r="P155" s="88">
        <v>0.5</v>
      </c>
      <c r="Q155" s="76"/>
      <c r="R155" s="76"/>
      <c r="S155" s="140">
        <v>0.5</v>
      </c>
      <c r="T155" s="199"/>
      <c r="U155" s="199"/>
      <c r="V155" s="199"/>
      <c r="W155" s="199"/>
      <c r="X155" s="199"/>
      <c r="Y155" s="199"/>
      <c r="Z155" s="199"/>
      <c r="AA155" s="199"/>
      <c r="AB155" s="199"/>
      <c r="AC155" s="199"/>
      <c r="AD155" s="199"/>
      <c r="AE155" s="20" t="str">
        <f t="shared" si="1"/>
        <v>Implantação de programa piloto</v>
      </c>
      <c r="AF155" s="20"/>
    </row>
    <row r="156" spans="1:32" ht="92.4" x14ac:dyDescent="0.35">
      <c r="A156" s="60">
        <v>3</v>
      </c>
      <c r="B156" s="61" t="s">
        <v>1210</v>
      </c>
      <c r="C156" s="92" t="s">
        <v>1239</v>
      </c>
      <c r="D156" s="61" t="s">
        <v>1240</v>
      </c>
      <c r="E156" s="138" t="s">
        <v>511</v>
      </c>
      <c r="F156" s="79" t="s">
        <v>512</v>
      </c>
      <c r="G156" s="102" t="s">
        <v>1258</v>
      </c>
      <c r="H156" s="75" t="s">
        <v>523</v>
      </c>
      <c r="I156" s="75" t="s">
        <v>323</v>
      </c>
      <c r="J156" s="94" t="s">
        <v>380</v>
      </c>
      <c r="K156" s="75" t="s">
        <v>489</v>
      </c>
      <c r="L156" s="75" t="s">
        <v>524</v>
      </c>
      <c r="M156" s="69" t="s">
        <v>1516</v>
      </c>
      <c r="N156" s="75"/>
      <c r="O156" s="75"/>
      <c r="P156" s="88">
        <v>1</v>
      </c>
      <c r="Q156" s="88">
        <v>0.3</v>
      </c>
      <c r="R156" s="88">
        <v>0.5</v>
      </c>
      <c r="S156" s="140">
        <v>1</v>
      </c>
      <c r="T156" s="199"/>
      <c r="U156" s="199"/>
      <c r="V156" s="199"/>
      <c r="W156" s="199"/>
      <c r="X156" s="199"/>
      <c r="Y156" s="199"/>
      <c r="Z156" s="199"/>
      <c r="AA156" s="199"/>
      <c r="AB156" s="199"/>
      <c r="AC156" s="199"/>
      <c r="AD156" s="199"/>
      <c r="AE156" s="17" t="str">
        <f t="shared" si="1"/>
        <v>Realização de campanha estadual</v>
      </c>
      <c r="AF156" s="17"/>
    </row>
    <row r="157" spans="1:32" ht="66" x14ac:dyDescent="0.35">
      <c r="A157" s="60">
        <v>3</v>
      </c>
      <c r="B157" s="61" t="s">
        <v>1210</v>
      </c>
      <c r="C157" s="92" t="s">
        <v>1259</v>
      </c>
      <c r="D157" s="61" t="s">
        <v>1260</v>
      </c>
      <c r="E157" s="138" t="s">
        <v>525</v>
      </c>
      <c r="F157" s="79" t="s">
        <v>526</v>
      </c>
      <c r="G157" s="102" t="s">
        <v>1261</v>
      </c>
      <c r="H157" s="75" t="s">
        <v>527</v>
      </c>
      <c r="I157" s="75" t="s">
        <v>528</v>
      </c>
      <c r="J157" s="73" t="s">
        <v>529</v>
      </c>
      <c r="K157" s="75" t="s">
        <v>530</v>
      </c>
      <c r="L157" s="75" t="s">
        <v>531</v>
      </c>
      <c r="M157" s="75" t="s">
        <v>1515</v>
      </c>
      <c r="N157" s="75"/>
      <c r="O157" s="75"/>
      <c r="P157" s="76">
        <v>1</v>
      </c>
      <c r="Q157" s="76"/>
      <c r="R157" s="76">
        <v>1</v>
      </c>
      <c r="S157" s="77"/>
      <c r="T157" s="192"/>
      <c r="U157" s="192"/>
      <c r="V157" s="192"/>
      <c r="W157" s="192"/>
      <c r="X157" s="192"/>
      <c r="Y157" s="192"/>
      <c r="Z157" s="192"/>
      <c r="AA157" s="192"/>
      <c r="AB157" s="192"/>
      <c r="AC157" s="192"/>
      <c r="AD157" s="192"/>
      <c r="AE157" s="20" t="str">
        <f t="shared" si="1"/>
        <v>Monitoramento permanente dos Planos</v>
      </c>
      <c r="AF157" s="20"/>
    </row>
    <row r="158" spans="1:32" ht="66" x14ac:dyDescent="0.35">
      <c r="A158" s="60">
        <v>3</v>
      </c>
      <c r="B158" s="61" t="s">
        <v>1210</v>
      </c>
      <c r="C158" s="92" t="s">
        <v>1259</v>
      </c>
      <c r="D158" s="61" t="s">
        <v>1260</v>
      </c>
      <c r="E158" s="138" t="s">
        <v>525</v>
      </c>
      <c r="F158" s="79" t="s">
        <v>526</v>
      </c>
      <c r="G158" s="102" t="s">
        <v>1262</v>
      </c>
      <c r="H158" s="75" t="s">
        <v>532</v>
      </c>
      <c r="I158" s="75" t="s">
        <v>528</v>
      </c>
      <c r="J158" s="73" t="s">
        <v>529</v>
      </c>
      <c r="K158" s="75" t="s">
        <v>530</v>
      </c>
      <c r="L158" s="75" t="s">
        <v>533</v>
      </c>
      <c r="M158" s="75" t="s">
        <v>1515</v>
      </c>
      <c r="N158" s="75"/>
      <c r="O158" s="75"/>
      <c r="P158" s="76">
        <v>1</v>
      </c>
      <c r="Q158" s="76"/>
      <c r="R158" s="76">
        <v>1</v>
      </c>
      <c r="S158" s="77"/>
      <c r="T158" s="192"/>
      <c r="U158" s="192"/>
      <c r="V158" s="192"/>
      <c r="W158" s="192"/>
      <c r="X158" s="192"/>
      <c r="Y158" s="192"/>
      <c r="Z158" s="192"/>
      <c r="AA158" s="192"/>
      <c r="AB158" s="192"/>
      <c r="AC158" s="192"/>
      <c r="AD158" s="192"/>
      <c r="AE158" s="17" t="str">
        <f t="shared" si="1"/>
        <v>Ampliação dos critérios de</v>
      </c>
      <c r="AF158" s="17"/>
    </row>
    <row r="159" spans="1:32" ht="79.2" x14ac:dyDescent="0.35">
      <c r="A159" s="60">
        <v>3</v>
      </c>
      <c r="B159" s="61" t="s">
        <v>1210</v>
      </c>
      <c r="C159" s="92" t="s">
        <v>1259</v>
      </c>
      <c r="D159" s="61" t="s">
        <v>1260</v>
      </c>
      <c r="E159" s="138" t="s">
        <v>534</v>
      </c>
      <c r="F159" s="79" t="s">
        <v>535</v>
      </c>
      <c r="G159" s="102" t="s">
        <v>1263</v>
      </c>
      <c r="H159" s="75" t="s">
        <v>536</v>
      </c>
      <c r="I159" s="75" t="s">
        <v>537</v>
      </c>
      <c r="J159" s="73" t="s">
        <v>538</v>
      </c>
      <c r="K159" s="75" t="s">
        <v>539</v>
      </c>
      <c r="L159" s="75" t="s">
        <v>478</v>
      </c>
      <c r="M159" s="75" t="s">
        <v>1515</v>
      </c>
      <c r="N159" s="75"/>
      <c r="O159" s="75"/>
      <c r="P159" s="76">
        <v>1</v>
      </c>
      <c r="Q159" s="76">
        <v>1</v>
      </c>
      <c r="R159" s="76"/>
      <c r="S159" s="77"/>
      <c r="T159" s="192"/>
      <c r="U159" s="192"/>
      <c r="V159" s="192"/>
      <c r="W159" s="192"/>
      <c r="X159" s="192"/>
      <c r="Y159" s="192"/>
      <c r="Z159" s="192"/>
      <c r="AA159" s="192"/>
      <c r="AB159" s="192"/>
      <c r="AC159" s="192"/>
      <c r="AD159" s="192"/>
      <c r="AE159" s="20" t="str">
        <f t="shared" si="1"/>
        <v>Mapeamento dos trechos rodoviários</v>
      </c>
      <c r="AF159" s="20"/>
    </row>
    <row r="160" spans="1:32" ht="66" x14ac:dyDescent="0.35">
      <c r="A160" s="60">
        <v>3</v>
      </c>
      <c r="B160" s="61" t="s">
        <v>1210</v>
      </c>
      <c r="C160" s="92" t="s">
        <v>1259</v>
      </c>
      <c r="D160" s="61" t="s">
        <v>1260</v>
      </c>
      <c r="E160" s="138" t="s">
        <v>534</v>
      </c>
      <c r="F160" s="79" t="s">
        <v>535</v>
      </c>
      <c r="G160" s="102" t="s">
        <v>1264</v>
      </c>
      <c r="H160" s="75" t="s">
        <v>540</v>
      </c>
      <c r="I160" s="75" t="s">
        <v>537</v>
      </c>
      <c r="J160" s="73" t="s">
        <v>538</v>
      </c>
      <c r="K160" s="75" t="s">
        <v>539</v>
      </c>
      <c r="L160" s="75" t="s">
        <v>541</v>
      </c>
      <c r="M160" s="75" t="s">
        <v>1515</v>
      </c>
      <c r="N160" s="75"/>
      <c r="O160" s="75"/>
      <c r="P160" s="88">
        <v>1</v>
      </c>
      <c r="Q160" s="76"/>
      <c r="R160" s="88">
        <v>1</v>
      </c>
      <c r="S160" s="77"/>
      <c r="T160" s="192"/>
      <c r="U160" s="192"/>
      <c r="V160" s="192"/>
      <c r="W160" s="192"/>
      <c r="X160" s="192"/>
      <c r="Y160" s="192"/>
      <c r="Z160" s="192"/>
      <c r="AA160" s="192"/>
      <c r="AB160" s="192"/>
      <c r="AC160" s="192"/>
      <c r="AD160" s="192"/>
      <c r="AE160" s="17" t="str">
        <f t="shared" si="1"/>
        <v>Revisão e atualização da</v>
      </c>
      <c r="AF160" s="17"/>
    </row>
    <row r="161" spans="1:32" ht="66" x14ac:dyDescent="0.35">
      <c r="A161" s="60">
        <v>3</v>
      </c>
      <c r="B161" s="61" t="s">
        <v>1210</v>
      </c>
      <c r="C161" s="92" t="s">
        <v>1259</v>
      </c>
      <c r="D161" s="61" t="s">
        <v>1260</v>
      </c>
      <c r="E161" s="138" t="s">
        <v>534</v>
      </c>
      <c r="F161" s="79" t="s">
        <v>535</v>
      </c>
      <c r="G161" s="102" t="s">
        <v>1265</v>
      </c>
      <c r="H161" s="75" t="s">
        <v>542</v>
      </c>
      <c r="I161" s="75" t="s">
        <v>537</v>
      </c>
      <c r="J161" s="94" t="s">
        <v>538</v>
      </c>
      <c r="K161" s="75" t="s">
        <v>539</v>
      </c>
      <c r="L161" s="75" t="s">
        <v>543</v>
      </c>
      <c r="M161" s="75" t="s">
        <v>1515</v>
      </c>
      <c r="N161" s="75"/>
      <c r="O161" s="75"/>
      <c r="P161" s="76">
        <v>1</v>
      </c>
      <c r="Q161" s="76"/>
      <c r="R161" s="76">
        <v>1</v>
      </c>
      <c r="S161" s="77"/>
      <c r="T161" s="192"/>
      <c r="U161" s="192"/>
      <c r="V161" s="192"/>
      <c r="W161" s="192"/>
      <c r="X161" s="192"/>
      <c r="Y161" s="192"/>
      <c r="Z161" s="192"/>
      <c r="AA161" s="192"/>
      <c r="AB161" s="192"/>
      <c r="AC161" s="192"/>
      <c r="AD161" s="192"/>
      <c r="AE161" s="20" t="str">
        <f t="shared" si="1"/>
        <v>Revisão e atualização da</v>
      </c>
      <c r="AF161" s="20"/>
    </row>
    <row r="162" spans="1:32" ht="66" x14ac:dyDescent="0.35">
      <c r="A162" s="60">
        <v>3</v>
      </c>
      <c r="B162" s="61" t="s">
        <v>1210</v>
      </c>
      <c r="C162" s="92" t="s">
        <v>1259</v>
      </c>
      <c r="D162" s="61" t="s">
        <v>1260</v>
      </c>
      <c r="E162" s="138" t="s">
        <v>534</v>
      </c>
      <c r="F162" s="79" t="s">
        <v>535</v>
      </c>
      <c r="G162" s="102" t="s">
        <v>1266</v>
      </c>
      <c r="H162" s="79" t="s">
        <v>544</v>
      </c>
      <c r="I162" s="79" t="s">
        <v>323</v>
      </c>
      <c r="J162" s="79" t="s">
        <v>456</v>
      </c>
      <c r="K162" s="79" t="s">
        <v>545</v>
      </c>
      <c r="L162" s="75" t="s">
        <v>546</v>
      </c>
      <c r="M162" s="75" t="s">
        <v>1515</v>
      </c>
      <c r="N162" s="75"/>
      <c r="O162" s="75"/>
      <c r="P162" s="76">
        <v>1</v>
      </c>
      <c r="Q162" s="76"/>
      <c r="R162" s="76">
        <v>1</v>
      </c>
      <c r="S162" s="77"/>
      <c r="T162" s="192"/>
      <c r="U162" s="192"/>
      <c r="V162" s="192"/>
      <c r="W162" s="192"/>
      <c r="X162" s="192"/>
      <c r="Y162" s="192"/>
      <c r="Z162" s="192"/>
      <c r="AA162" s="192"/>
      <c r="AB162" s="192"/>
      <c r="AC162" s="192"/>
      <c r="AD162" s="192"/>
      <c r="AE162" s="17" t="str">
        <f t="shared" si="1"/>
        <v>Implantação dos projetos de</v>
      </c>
      <c r="AF162" s="17"/>
    </row>
    <row r="163" spans="1:32" ht="66" x14ac:dyDescent="0.35">
      <c r="A163" s="60">
        <v>3</v>
      </c>
      <c r="B163" s="61" t="s">
        <v>1210</v>
      </c>
      <c r="C163" s="92" t="s">
        <v>1259</v>
      </c>
      <c r="D163" s="61" t="s">
        <v>1260</v>
      </c>
      <c r="E163" s="138" t="s">
        <v>534</v>
      </c>
      <c r="F163" s="79" t="s">
        <v>535</v>
      </c>
      <c r="G163" s="102" t="s">
        <v>1266</v>
      </c>
      <c r="H163" s="79" t="s">
        <v>544</v>
      </c>
      <c r="I163" s="79" t="s">
        <v>323</v>
      </c>
      <c r="J163" s="79" t="s">
        <v>456</v>
      </c>
      <c r="K163" s="79" t="s">
        <v>545</v>
      </c>
      <c r="L163" s="75" t="s">
        <v>547</v>
      </c>
      <c r="M163" s="75" t="s">
        <v>1515</v>
      </c>
      <c r="N163" s="75"/>
      <c r="O163" s="75"/>
      <c r="P163" s="88">
        <v>1</v>
      </c>
      <c r="Q163" s="76"/>
      <c r="R163" s="76"/>
      <c r="S163" s="140">
        <v>1</v>
      </c>
      <c r="T163" s="199"/>
      <c r="U163" s="199"/>
      <c r="V163" s="199"/>
      <c r="W163" s="199"/>
      <c r="X163" s="199"/>
      <c r="Y163" s="199"/>
      <c r="Z163" s="199"/>
      <c r="AA163" s="199"/>
      <c r="AB163" s="199"/>
      <c r="AC163" s="199"/>
      <c r="AD163" s="199"/>
      <c r="AE163" s="20" t="str">
        <f t="shared" si="1"/>
        <v>Implantação dos projetos de</v>
      </c>
      <c r="AF163" s="20"/>
    </row>
    <row r="164" spans="1:32" ht="66.599999999999994" thickBot="1" x14ac:dyDescent="0.4">
      <c r="A164" s="60">
        <v>3</v>
      </c>
      <c r="B164" s="61" t="s">
        <v>1210</v>
      </c>
      <c r="C164" s="92" t="s">
        <v>1259</v>
      </c>
      <c r="D164" s="61" t="s">
        <v>1260</v>
      </c>
      <c r="E164" s="138" t="s">
        <v>534</v>
      </c>
      <c r="F164" s="79" t="s">
        <v>535</v>
      </c>
      <c r="G164" s="102" t="s">
        <v>1267</v>
      </c>
      <c r="H164" s="79" t="s">
        <v>548</v>
      </c>
      <c r="I164" s="79" t="s">
        <v>321</v>
      </c>
      <c r="J164" s="145" t="s">
        <v>411</v>
      </c>
      <c r="K164" s="79" t="s">
        <v>549</v>
      </c>
      <c r="L164" s="79" t="s">
        <v>550</v>
      </c>
      <c r="M164" s="79" t="s">
        <v>1515</v>
      </c>
      <c r="N164" s="79"/>
      <c r="O164" s="79"/>
      <c r="P164" s="146">
        <v>1</v>
      </c>
      <c r="Q164" s="102"/>
      <c r="R164" s="146">
        <v>1</v>
      </c>
      <c r="S164" s="108"/>
      <c r="T164" s="195"/>
      <c r="U164" s="195"/>
      <c r="V164" s="195"/>
      <c r="W164" s="195"/>
      <c r="X164" s="195"/>
      <c r="Y164" s="195"/>
      <c r="Z164" s="195"/>
      <c r="AA164" s="195"/>
      <c r="AB164" s="195"/>
      <c r="AC164" s="195"/>
      <c r="AD164" s="195"/>
      <c r="AE164" s="24" t="str">
        <f t="shared" si="1"/>
        <v>Incorporação da obrigação de</v>
      </c>
      <c r="AF164" s="24"/>
    </row>
    <row r="165" spans="1:32" ht="57" customHeight="1" thickBot="1" x14ac:dyDescent="0.4">
      <c r="A165" s="60">
        <v>4</v>
      </c>
      <c r="B165" s="61" t="s">
        <v>1268</v>
      </c>
      <c r="C165" s="92" t="s">
        <v>1269</v>
      </c>
      <c r="D165" s="61" t="s">
        <v>1270</v>
      </c>
      <c r="E165" s="128" t="s">
        <v>551</v>
      </c>
      <c r="F165" s="129" t="s">
        <v>552</v>
      </c>
      <c r="G165" s="130" t="s">
        <v>1273</v>
      </c>
      <c r="H165" s="133" t="s">
        <v>553</v>
      </c>
      <c r="I165" s="133" t="s">
        <v>51</v>
      </c>
      <c r="J165" s="143" t="s">
        <v>70</v>
      </c>
      <c r="K165" s="133" t="s">
        <v>554</v>
      </c>
      <c r="L165" s="133" t="s">
        <v>555</v>
      </c>
      <c r="M165" s="133" t="s">
        <v>1515</v>
      </c>
      <c r="N165" s="133"/>
      <c r="O165" s="133"/>
      <c r="P165" s="134">
        <v>1</v>
      </c>
      <c r="Q165" s="134">
        <v>1</v>
      </c>
      <c r="R165" s="134"/>
      <c r="S165" s="135"/>
      <c r="T165" s="198"/>
      <c r="U165" s="198"/>
      <c r="V165" s="198"/>
      <c r="W165" s="198"/>
      <c r="X165" s="198"/>
      <c r="Y165" s="198"/>
      <c r="Z165" s="198"/>
      <c r="AA165" s="198"/>
      <c r="AB165" s="198"/>
      <c r="AC165" s="198"/>
      <c r="AD165" s="198"/>
      <c r="AE165" s="29" t="str">
        <f t="shared" si="1"/>
        <v>Elaboração de repositório com</v>
      </c>
      <c r="AF165" s="29"/>
    </row>
    <row r="166" spans="1:32" ht="79.8" thickBot="1" x14ac:dyDescent="0.4">
      <c r="A166" s="60">
        <v>4</v>
      </c>
      <c r="B166" s="61" t="s">
        <v>1268</v>
      </c>
      <c r="C166" s="92" t="s">
        <v>1269</v>
      </c>
      <c r="D166" s="61" t="s">
        <v>1270</v>
      </c>
      <c r="E166" s="128" t="s">
        <v>551</v>
      </c>
      <c r="F166" s="129" t="s">
        <v>552</v>
      </c>
      <c r="G166" s="130" t="s">
        <v>1274</v>
      </c>
      <c r="H166" s="79" t="s">
        <v>556</v>
      </c>
      <c r="I166" s="79" t="s">
        <v>51</v>
      </c>
      <c r="J166" s="79" t="s">
        <v>70</v>
      </c>
      <c r="K166" s="79" t="s">
        <v>557</v>
      </c>
      <c r="L166" s="75" t="s">
        <v>558</v>
      </c>
      <c r="M166" s="75" t="s">
        <v>1515</v>
      </c>
      <c r="N166" s="75"/>
      <c r="O166" s="75"/>
      <c r="P166" s="76">
        <v>11</v>
      </c>
      <c r="Q166" s="76">
        <v>3</v>
      </c>
      <c r="R166" s="76">
        <v>3</v>
      </c>
      <c r="S166" s="77">
        <v>5</v>
      </c>
      <c r="T166" s="192"/>
      <c r="U166" s="192"/>
      <c r="V166" s="192"/>
      <c r="W166" s="192"/>
      <c r="X166" s="192"/>
      <c r="Y166" s="192"/>
      <c r="Z166" s="192"/>
      <c r="AA166" s="192"/>
      <c r="AB166" s="192"/>
      <c r="AC166" s="192"/>
      <c r="AD166" s="192"/>
      <c r="AE166" s="17" t="str">
        <f t="shared" si="1"/>
        <v>Realização de programas de</v>
      </c>
      <c r="AF166" s="17"/>
    </row>
    <row r="167" spans="1:32" ht="79.8" thickBot="1" x14ac:dyDescent="0.4">
      <c r="A167" s="60">
        <v>4</v>
      </c>
      <c r="B167" s="61" t="s">
        <v>1268</v>
      </c>
      <c r="C167" s="92" t="s">
        <v>1269</v>
      </c>
      <c r="D167" s="61" t="s">
        <v>1270</v>
      </c>
      <c r="E167" s="128" t="s">
        <v>551</v>
      </c>
      <c r="F167" s="129" t="s">
        <v>552</v>
      </c>
      <c r="G167" s="130" t="s">
        <v>1274</v>
      </c>
      <c r="H167" s="79" t="s">
        <v>556</v>
      </c>
      <c r="I167" s="79" t="s">
        <v>51</v>
      </c>
      <c r="J167" s="79" t="s">
        <v>70</v>
      </c>
      <c r="K167" s="79" t="s">
        <v>557</v>
      </c>
      <c r="L167" s="75" t="s">
        <v>559</v>
      </c>
      <c r="M167" s="75" t="s">
        <v>1515</v>
      </c>
      <c r="N167" s="75"/>
      <c r="O167" s="75"/>
      <c r="P167" s="76">
        <v>500</v>
      </c>
      <c r="Q167" s="76"/>
      <c r="R167" s="76"/>
      <c r="S167" s="77">
        <v>500</v>
      </c>
      <c r="T167" s="192"/>
      <c r="U167" s="192"/>
      <c r="V167" s="192"/>
      <c r="W167" s="192"/>
      <c r="X167" s="192"/>
      <c r="Y167" s="192"/>
      <c r="Z167" s="192"/>
      <c r="AA167" s="192"/>
      <c r="AB167" s="192"/>
      <c r="AC167" s="192"/>
      <c r="AD167" s="192"/>
      <c r="AE167" s="20" t="str">
        <f t="shared" si="1"/>
        <v>Realização de programas de</v>
      </c>
      <c r="AF167" s="20"/>
    </row>
    <row r="168" spans="1:32" ht="79.8" thickBot="1" x14ac:dyDescent="0.4">
      <c r="A168" s="60">
        <v>4</v>
      </c>
      <c r="B168" s="61" t="s">
        <v>1268</v>
      </c>
      <c r="C168" s="92" t="s">
        <v>1269</v>
      </c>
      <c r="D168" s="61" t="s">
        <v>1270</v>
      </c>
      <c r="E168" s="128" t="s">
        <v>551</v>
      </c>
      <c r="F168" s="129" t="s">
        <v>552</v>
      </c>
      <c r="G168" s="130" t="s">
        <v>1275</v>
      </c>
      <c r="H168" s="75" t="s">
        <v>560</v>
      </c>
      <c r="I168" s="75" t="s">
        <v>557</v>
      </c>
      <c r="J168" s="73" t="s">
        <v>564</v>
      </c>
      <c r="K168" s="75" t="s">
        <v>62</v>
      </c>
      <c r="L168" s="75" t="s">
        <v>562</v>
      </c>
      <c r="M168" s="75" t="s">
        <v>1515</v>
      </c>
      <c r="N168" s="75"/>
      <c r="O168" s="75"/>
      <c r="P168" s="76">
        <v>22</v>
      </c>
      <c r="Q168" s="76">
        <v>6</v>
      </c>
      <c r="R168" s="76">
        <v>6</v>
      </c>
      <c r="S168" s="77">
        <v>10</v>
      </c>
      <c r="T168" s="192"/>
      <c r="U168" s="192"/>
      <c r="V168" s="192"/>
      <c r="W168" s="192"/>
      <c r="X168" s="192"/>
      <c r="Y168" s="192"/>
      <c r="Z168" s="192"/>
      <c r="AA168" s="192"/>
      <c r="AB168" s="192"/>
      <c r="AC168" s="192"/>
      <c r="AD168" s="192"/>
      <c r="AE168" s="17" t="str">
        <f t="shared" si="1"/>
        <v>Realização de oficinas e</v>
      </c>
      <c r="AF168" s="17"/>
    </row>
    <row r="169" spans="1:32" ht="79.8" thickBot="1" x14ac:dyDescent="0.4">
      <c r="A169" s="60">
        <v>4</v>
      </c>
      <c r="B169" s="61" t="s">
        <v>1268</v>
      </c>
      <c r="C169" s="92" t="s">
        <v>1269</v>
      </c>
      <c r="D169" s="61" t="s">
        <v>1270</v>
      </c>
      <c r="E169" s="128" t="s">
        <v>551</v>
      </c>
      <c r="F169" s="129" t="s">
        <v>552</v>
      </c>
      <c r="G169" s="130" t="s">
        <v>1276</v>
      </c>
      <c r="H169" s="79" t="s">
        <v>563</v>
      </c>
      <c r="I169" s="79" t="s">
        <v>557</v>
      </c>
      <c r="J169" s="79" t="s">
        <v>564</v>
      </c>
      <c r="K169" s="79" t="s">
        <v>561</v>
      </c>
      <c r="L169" s="75" t="s">
        <v>565</v>
      </c>
      <c r="M169" s="75" t="s">
        <v>1515</v>
      </c>
      <c r="N169" s="75"/>
      <c r="O169" s="75"/>
      <c r="P169" s="76">
        <v>182</v>
      </c>
      <c r="Q169" s="76"/>
      <c r="R169" s="76"/>
      <c r="S169" s="77"/>
      <c r="T169" s="192"/>
      <c r="U169" s="192"/>
      <c r="V169" s="192"/>
      <c r="W169" s="192"/>
      <c r="X169" s="192"/>
      <c r="Y169" s="192"/>
      <c r="Z169" s="192"/>
      <c r="AA169" s="192"/>
      <c r="AB169" s="192"/>
      <c r="AC169" s="192"/>
      <c r="AD169" s="192"/>
      <c r="AE169" s="20" t="str">
        <f t="shared" si="1"/>
        <v>Criação de rede paulista</v>
      </c>
      <c r="AF169" s="20"/>
    </row>
    <row r="170" spans="1:32" ht="79.8" thickBot="1" x14ac:dyDescent="0.4">
      <c r="A170" s="60">
        <v>4</v>
      </c>
      <c r="B170" s="61" t="s">
        <v>1268</v>
      </c>
      <c r="C170" s="92" t="s">
        <v>1269</v>
      </c>
      <c r="D170" s="61" t="s">
        <v>1270</v>
      </c>
      <c r="E170" s="128" t="s">
        <v>551</v>
      </c>
      <c r="F170" s="129" t="s">
        <v>552</v>
      </c>
      <c r="G170" s="130" t="s">
        <v>1276</v>
      </c>
      <c r="H170" s="79" t="s">
        <v>563</v>
      </c>
      <c r="I170" s="79" t="s">
        <v>557</v>
      </c>
      <c r="J170" s="79" t="s">
        <v>564</v>
      </c>
      <c r="K170" s="79" t="s">
        <v>561</v>
      </c>
      <c r="L170" s="75" t="s">
        <v>566</v>
      </c>
      <c r="M170" s="75" t="s">
        <v>1515</v>
      </c>
      <c r="N170" s="75"/>
      <c r="O170" s="75"/>
      <c r="P170" s="76">
        <v>1</v>
      </c>
      <c r="Q170" s="76">
        <v>1</v>
      </c>
      <c r="R170" s="76"/>
      <c r="S170" s="77"/>
      <c r="T170" s="192"/>
      <c r="U170" s="192"/>
      <c r="V170" s="192"/>
      <c r="W170" s="192"/>
      <c r="X170" s="192"/>
      <c r="Y170" s="192"/>
      <c r="Z170" s="192"/>
      <c r="AA170" s="192"/>
      <c r="AB170" s="192"/>
      <c r="AC170" s="192"/>
      <c r="AD170" s="192"/>
      <c r="AE170" s="17" t="str">
        <f t="shared" si="1"/>
        <v>Criação de rede paulista</v>
      </c>
      <c r="AF170" s="17"/>
    </row>
    <row r="171" spans="1:32" ht="79.2" x14ac:dyDescent="0.35">
      <c r="A171" s="60">
        <v>4</v>
      </c>
      <c r="B171" s="61" t="s">
        <v>1268</v>
      </c>
      <c r="C171" s="92" t="s">
        <v>1269</v>
      </c>
      <c r="D171" s="61" t="s">
        <v>1270</v>
      </c>
      <c r="E171" s="128" t="s">
        <v>551</v>
      </c>
      <c r="F171" s="129" t="s">
        <v>552</v>
      </c>
      <c r="G171" s="130" t="s">
        <v>1277</v>
      </c>
      <c r="H171" s="75" t="s">
        <v>567</v>
      </c>
      <c r="I171" s="75" t="s">
        <v>557</v>
      </c>
      <c r="J171" s="73" t="s">
        <v>568</v>
      </c>
      <c r="K171" s="75" t="s">
        <v>62</v>
      </c>
      <c r="L171" s="75" t="s">
        <v>569</v>
      </c>
      <c r="M171" s="75" t="s">
        <v>1515</v>
      </c>
      <c r="N171" s="75"/>
      <c r="O171" s="75"/>
      <c r="P171" s="76">
        <v>1</v>
      </c>
      <c r="Q171" s="76">
        <v>1</v>
      </c>
      <c r="R171" s="76"/>
      <c r="S171" s="77"/>
      <c r="T171" s="192"/>
      <c r="U171" s="192"/>
      <c r="V171" s="192"/>
      <c r="W171" s="192"/>
      <c r="X171" s="192"/>
      <c r="Y171" s="192"/>
      <c r="Z171" s="192"/>
      <c r="AA171" s="192"/>
      <c r="AB171" s="192"/>
      <c r="AC171" s="192"/>
      <c r="AD171" s="192"/>
      <c r="AE171" s="20" t="str">
        <f t="shared" si="1"/>
        <v>Instituição de reconhecimento estadual</v>
      </c>
      <c r="AF171" s="20"/>
    </row>
    <row r="172" spans="1:32" ht="79.2" x14ac:dyDescent="0.35">
      <c r="A172" s="60">
        <v>4</v>
      </c>
      <c r="B172" s="61" t="s">
        <v>1268</v>
      </c>
      <c r="C172" s="92" t="s">
        <v>1269</v>
      </c>
      <c r="D172" s="61" t="s">
        <v>1270</v>
      </c>
      <c r="E172" s="138" t="s">
        <v>1278</v>
      </c>
      <c r="F172" s="79" t="s">
        <v>1279</v>
      </c>
      <c r="G172" s="102" t="s">
        <v>1280</v>
      </c>
      <c r="H172" s="75" t="s">
        <v>570</v>
      </c>
      <c r="I172" s="74" t="s">
        <v>557</v>
      </c>
      <c r="J172" s="73" t="s">
        <v>568</v>
      </c>
      <c r="K172" s="75" t="s">
        <v>51</v>
      </c>
      <c r="L172" s="75" t="s">
        <v>1284</v>
      </c>
      <c r="M172" s="75" t="s">
        <v>1515</v>
      </c>
      <c r="N172" s="75"/>
      <c r="O172" s="75"/>
      <c r="P172" s="76">
        <v>40</v>
      </c>
      <c r="Q172" s="76"/>
      <c r="R172" s="76">
        <v>15</v>
      </c>
      <c r="S172" s="77">
        <v>25</v>
      </c>
      <c r="T172" s="192"/>
      <c r="U172" s="192"/>
      <c r="V172" s="192"/>
      <c r="W172" s="192"/>
      <c r="X172" s="192"/>
      <c r="Y172" s="192"/>
      <c r="Z172" s="192"/>
      <c r="AA172" s="192"/>
      <c r="AB172" s="192"/>
      <c r="AC172" s="192"/>
      <c r="AD172" s="192"/>
      <c r="AE172" s="17" t="str">
        <f t="shared" si="1"/>
        <v>Formalização dos convênios e</v>
      </c>
      <c r="AF172" s="17"/>
    </row>
    <row r="173" spans="1:32" ht="79.2" x14ac:dyDescent="0.35">
      <c r="A173" s="60">
        <v>4</v>
      </c>
      <c r="B173" s="61" t="s">
        <v>1268</v>
      </c>
      <c r="C173" s="92" t="s">
        <v>1269</v>
      </c>
      <c r="D173" s="61" t="s">
        <v>1270</v>
      </c>
      <c r="E173" s="138" t="s">
        <v>1278</v>
      </c>
      <c r="F173" s="79" t="s">
        <v>1279</v>
      </c>
      <c r="G173" s="102" t="s">
        <v>1281</v>
      </c>
      <c r="H173" s="81" t="s">
        <v>571</v>
      </c>
      <c r="I173" s="74" t="s">
        <v>51</v>
      </c>
      <c r="J173" s="73" t="s">
        <v>70</v>
      </c>
      <c r="K173" s="75" t="s">
        <v>561</v>
      </c>
      <c r="L173" s="75" t="s">
        <v>562</v>
      </c>
      <c r="M173" s="75" t="s">
        <v>1515</v>
      </c>
      <c r="N173" s="75"/>
      <c r="O173" s="75"/>
      <c r="P173" s="76">
        <v>22</v>
      </c>
      <c r="Q173" s="76">
        <v>6</v>
      </c>
      <c r="R173" s="76">
        <v>6</v>
      </c>
      <c r="S173" s="77">
        <v>10</v>
      </c>
      <c r="T173" s="192"/>
      <c r="U173" s="192"/>
      <c r="V173" s="192"/>
      <c r="W173" s="192"/>
      <c r="X173" s="192"/>
      <c r="Y173" s="192"/>
      <c r="Z173" s="192"/>
      <c r="AA173" s="192"/>
      <c r="AB173" s="192"/>
      <c r="AC173" s="192"/>
      <c r="AD173" s="192"/>
      <c r="AE173" s="20" t="str">
        <f t="shared" si="1"/>
        <v>Realização de oficinas e</v>
      </c>
      <c r="AF173" s="20"/>
    </row>
    <row r="174" spans="1:32" ht="79.2" x14ac:dyDescent="0.35">
      <c r="A174" s="60">
        <v>4</v>
      </c>
      <c r="B174" s="61" t="s">
        <v>1268</v>
      </c>
      <c r="C174" s="92" t="s">
        <v>1269</v>
      </c>
      <c r="D174" s="61" t="s">
        <v>1270</v>
      </c>
      <c r="E174" s="138" t="s">
        <v>1278</v>
      </c>
      <c r="F174" s="79" t="s">
        <v>1279</v>
      </c>
      <c r="G174" s="102" t="s">
        <v>1282</v>
      </c>
      <c r="H174" s="81" t="s">
        <v>572</v>
      </c>
      <c r="I174" s="74" t="s">
        <v>51</v>
      </c>
      <c r="J174" s="73" t="s">
        <v>70</v>
      </c>
      <c r="K174" s="75" t="s">
        <v>561</v>
      </c>
      <c r="L174" s="75" t="s">
        <v>573</v>
      </c>
      <c r="M174" s="75" t="s">
        <v>1515</v>
      </c>
      <c r="N174" s="75"/>
      <c r="O174" s="75"/>
      <c r="P174" s="76">
        <v>1</v>
      </c>
      <c r="Q174" s="76"/>
      <c r="R174" s="76">
        <v>1</v>
      </c>
      <c r="S174" s="77"/>
      <c r="T174" s="192"/>
      <c r="U174" s="192"/>
      <c r="V174" s="192"/>
      <c r="W174" s="192"/>
      <c r="X174" s="192"/>
      <c r="Y174" s="192"/>
      <c r="Z174" s="192"/>
      <c r="AA174" s="192"/>
      <c r="AB174" s="192"/>
      <c r="AC174" s="192"/>
      <c r="AD174" s="192"/>
      <c r="AE174" s="17" t="str">
        <f t="shared" si="1"/>
        <v>Elaboração de documento com</v>
      </c>
      <c r="AF174" s="17"/>
    </row>
    <row r="175" spans="1:32" ht="79.2" x14ac:dyDescent="0.35">
      <c r="A175" s="60">
        <v>4</v>
      </c>
      <c r="B175" s="61" t="s">
        <v>1268</v>
      </c>
      <c r="C175" s="92" t="s">
        <v>1269</v>
      </c>
      <c r="D175" s="61" t="s">
        <v>1270</v>
      </c>
      <c r="E175" s="138" t="s">
        <v>1278</v>
      </c>
      <c r="F175" s="79" t="s">
        <v>1279</v>
      </c>
      <c r="G175" s="102" t="s">
        <v>1283</v>
      </c>
      <c r="H175" s="81" t="s">
        <v>574</v>
      </c>
      <c r="I175" s="74" t="s">
        <v>51</v>
      </c>
      <c r="J175" s="73" t="s">
        <v>70</v>
      </c>
      <c r="K175" s="75" t="s">
        <v>575</v>
      </c>
      <c r="L175" s="75" t="s">
        <v>569</v>
      </c>
      <c r="M175" s="75" t="s">
        <v>1515</v>
      </c>
      <c r="N175" s="75"/>
      <c r="O175" s="75"/>
      <c r="P175" s="76">
        <v>1</v>
      </c>
      <c r="Q175" s="76"/>
      <c r="R175" s="76">
        <v>1</v>
      </c>
      <c r="S175" s="77"/>
      <c r="T175" s="192"/>
      <c r="U175" s="192"/>
      <c r="V175" s="192"/>
      <c r="W175" s="192"/>
      <c r="X175" s="192"/>
      <c r="Y175" s="192"/>
      <c r="Z175" s="192"/>
      <c r="AA175" s="192"/>
      <c r="AB175" s="192"/>
      <c r="AC175" s="192"/>
      <c r="AD175" s="192"/>
      <c r="AE175" s="20" t="str">
        <f t="shared" si="1"/>
        <v>Instituição de reconhecimento estadual</v>
      </c>
      <c r="AF175" s="20"/>
    </row>
    <row r="176" spans="1:32" ht="79.2" x14ac:dyDescent="0.35">
      <c r="A176" s="60">
        <v>4</v>
      </c>
      <c r="B176" s="61" t="s">
        <v>1268</v>
      </c>
      <c r="C176" s="92" t="s">
        <v>1269</v>
      </c>
      <c r="D176" s="61" t="s">
        <v>1270</v>
      </c>
      <c r="E176" s="138" t="s">
        <v>576</v>
      </c>
      <c r="F176" s="79" t="s">
        <v>1285</v>
      </c>
      <c r="G176" s="102" t="s">
        <v>1286</v>
      </c>
      <c r="H176" s="75" t="s">
        <v>577</v>
      </c>
      <c r="I176" s="75" t="s">
        <v>51</v>
      </c>
      <c r="J176" s="73" t="s">
        <v>70</v>
      </c>
      <c r="K176" s="75" t="s">
        <v>578</v>
      </c>
      <c r="L176" s="75" t="s">
        <v>478</v>
      </c>
      <c r="M176" s="75" t="s">
        <v>1515</v>
      </c>
      <c r="N176" s="75"/>
      <c r="O176" s="75"/>
      <c r="P176" s="76">
        <v>1</v>
      </c>
      <c r="Q176" s="76">
        <v>1</v>
      </c>
      <c r="R176" s="76"/>
      <c r="S176" s="77"/>
      <c r="T176" s="192"/>
      <c r="U176" s="192"/>
      <c r="V176" s="192"/>
      <c r="W176" s="192"/>
      <c r="X176" s="192"/>
      <c r="Y176" s="192"/>
      <c r="Z176" s="192"/>
      <c r="AA176" s="192"/>
      <c r="AB176" s="192"/>
      <c r="AC176" s="192"/>
      <c r="AD176" s="192"/>
      <c r="AE176" s="17" t="str">
        <f t="shared" si="1"/>
        <v>Mapeamento dos municípios que</v>
      </c>
      <c r="AF176" s="17"/>
    </row>
    <row r="177" spans="1:32" ht="79.2" x14ac:dyDescent="0.35">
      <c r="A177" s="60">
        <v>4</v>
      </c>
      <c r="B177" s="61" t="s">
        <v>1268</v>
      </c>
      <c r="C177" s="92" t="s">
        <v>1269</v>
      </c>
      <c r="D177" s="61" t="s">
        <v>1270</v>
      </c>
      <c r="E177" s="138" t="s">
        <v>576</v>
      </c>
      <c r="F177" s="79" t="s">
        <v>1285</v>
      </c>
      <c r="G177" s="102" t="s">
        <v>1287</v>
      </c>
      <c r="H177" s="75" t="s">
        <v>1291</v>
      </c>
      <c r="I177" s="75" t="s">
        <v>51</v>
      </c>
      <c r="J177" s="73" t="s">
        <v>70</v>
      </c>
      <c r="K177" s="75" t="s">
        <v>579</v>
      </c>
      <c r="L177" s="75" t="s">
        <v>1284</v>
      </c>
      <c r="M177" s="75" t="s">
        <v>1515</v>
      </c>
      <c r="N177" s="75"/>
      <c r="O177" s="75"/>
      <c r="P177" s="76">
        <v>1100</v>
      </c>
      <c r="Q177" s="76">
        <v>300</v>
      </c>
      <c r="R177" s="76">
        <v>300</v>
      </c>
      <c r="S177" s="77">
        <v>500</v>
      </c>
      <c r="T177" s="192"/>
      <c r="U177" s="192"/>
      <c r="V177" s="192"/>
      <c r="W177" s="192"/>
      <c r="X177" s="192"/>
      <c r="Y177" s="192"/>
      <c r="Z177" s="192"/>
      <c r="AA177" s="192"/>
      <c r="AB177" s="192"/>
      <c r="AC177" s="192"/>
      <c r="AD177" s="192"/>
      <c r="AE177" s="20" t="str">
        <f t="shared" si="1"/>
        <v>Formalização de parcerias com</v>
      </c>
      <c r="AF177" s="20"/>
    </row>
    <row r="178" spans="1:32" ht="79.2" x14ac:dyDescent="0.35">
      <c r="A178" s="60">
        <v>4</v>
      </c>
      <c r="B178" s="61" t="s">
        <v>1268</v>
      </c>
      <c r="C178" s="92" t="s">
        <v>1269</v>
      </c>
      <c r="D178" s="61" t="s">
        <v>1270</v>
      </c>
      <c r="E178" s="138" t="s">
        <v>576</v>
      </c>
      <c r="F178" s="79" t="s">
        <v>1285</v>
      </c>
      <c r="G178" s="102" t="s">
        <v>1288</v>
      </c>
      <c r="H178" s="79" t="s">
        <v>580</v>
      </c>
      <c r="I178" s="79" t="s">
        <v>51</v>
      </c>
      <c r="J178" s="79" t="s">
        <v>70</v>
      </c>
      <c r="K178" s="79" t="s">
        <v>581</v>
      </c>
      <c r="L178" s="75" t="s">
        <v>582</v>
      </c>
      <c r="M178" s="75" t="s">
        <v>1515</v>
      </c>
      <c r="N178" s="75"/>
      <c r="O178" s="75"/>
      <c r="P178" s="76"/>
      <c r="Q178" s="76">
        <v>5</v>
      </c>
      <c r="R178" s="76"/>
      <c r="S178" s="77"/>
      <c r="T178" s="192"/>
      <c r="U178" s="192"/>
      <c r="V178" s="192"/>
      <c r="W178" s="192"/>
      <c r="X178" s="192"/>
      <c r="Y178" s="192"/>
      <c r="Z178" s="192"/>
      <c r="AA178" s="192"/>
      <c r="AB178" s="192"/>
      <c r="AC178" s="192"/>
      <c r="AD178" s="192"/>
      <c r="AE178" s="17" t="str">
        <f t="shared" si="1"/>
        <v>Capacitação servidores municipais e</v>
      </c>
      <c r="AF178" s="17"/>
    </row>
    <row r="179" spans="1:32" ht="79.2" x14ac:dyDescent="0.35">
      <c r="A179" s="60">
        <v>4</v>
      </c>
      <c r="B179" s="61" t="s">
        <v>1268</v>
      </c>
      <c r="C179" s="92" t="s">
        <v>1269</v>
      </c>
      <c r="D179" s="61" t="s">
        <v>1270</v>
      </c>
      <c r="E179" s="138" t="s">
        <v>576</v>
      </c>
      <c r="F179" s="79" t="s">
        <v>1285</v>
      </c>
      <c r="G179" s="102" t="s">
        <v>1289</v>
      </c>
      <c r="H179" s="79" t="s">
        <v>580</v>
      </c>
      <c r="I179" s="79" t="s">
        <v>51</v>
      </c>
      <c r="J179" s="79" t="s">
        <v>70</v>
      </c>
      <c r="K179" s="79" t="s">
        <v>581</v>
      </c>
      <c r="L179" s="75" t="s">
        <v>583</v>
      </c>
      <c r="M179" s="75" t="s">
        <v>1515</v>
      </c>
      <c r="N179" s="75"/>
      <c r="O179" s="75"/>
      <c r="P179" s="88">
        <v>0.5</v>
      </c>
      <c r="Q179" s="76"/>
      <c r="R179" s="88">
        <v>0.5</v>
      </c>
      <c r="S179" s="77"/>
      <c r="T179" s="192"/>
      <c r="U179" s="192"/>
      <c r="V179" s="192"/>
      <c r="W179" s="192"/>
      <c r="X179" s="192"/>
      <c r="Y179" s="192"/>
      <c r="Z179" s="192"/>
      <c r="AA179" s="192"/>
      <c r="AB179" s="192"/>
      <c r="AC179" s="192"/>
      <c r="AD179" s="192"/>
      <c r="AE179" s="20" t="str">
        <f t="shared" si="1"/>
        <v>Capacitação servidores municipais e</v>
      </c>
      <c r="AF179" s="20"/>
    </row>
    <row r="180" spans="1:32" ht="79.2" x14ac:dyDescent="0.35">
      <c r="A180" s="60">
        <v>4</v>
      </c>
      <c r="B180" s="61" t="s">
        <v>1268</v>
      </c>
      <c r="C180" s="92" t="s">
        <v>1269</v>
      </c>
      <c r="D180" s="61" t="s">
        <v>1270</v>
      </c>
      <c r="E180" s="138" t="s">
        <v>576</v>
      </c>
      <c r="F180" s="79" t="s">
        <v>1285</v>
      </c>
      <c r="G180" s="102" t="s">
        <v>1290</v>
      </c>
      <c r="H180" s="79" t="s">
        <v>580</v>
      </c>
      <c r="I180" s="79" t="s">
        <v>51</v>
      </c>
      <c r="J180" s="79" t="s">
        <v>70</v>
      </c>
      <c r="K180" s="79" t="s">
        <v>581</v>
      </c>
      <c r="L180" s="75" t="s">
        <v>584</v>
      </c>
      <c r="M180" s="75" t="s">
        <v>1515</v>
      </c>
      <c r="N180" s="75"/>
      <c r="O180" s="75"/>
      <c r="P180" s="76">
        <v>1</v>
      </c>
      <c r="Q180" s="76">
        <v>1</v>
      </c>
      <c r="R180" s="76"/>
      <c r="S180" s="77"/>
      <c r="T180" s="192"/>
      <c r="U180" s="192"/>
      <c r="V180" s="192"/>
      <c r="W180" s="192"/>
      <c r="X180" s="192"/>
      <c r="Y180" s="192"/>
      <c r="Z180" s="192"/>
      <c r="AA180" s="192"/>
      <c r="AB180" s="192"/>
      <c r="AC180" s="192"/>
      <c r="AD180" s="192"/>
      <c r="AE180" s="17" t="str">
        <f t="shared" si="1"/>
        <v>Capacitação servidores municipais e</v>
      </c>
      <c r="AF180" s="17"/>
    </row>
    <row r="181" spans="1:32" ht="79.2" x14ac:dyDescent="0.35">
      <c r="A181" s="60">
        <v>4</v>
      </c>
      <c r="B181" s="61" t="s">
        <v>1268</v>
      </c>
      <c r="C181" s="92" t="s">
        <v>1269</v>
      </c>
      <c r="D181" s="61" t="s">
        <v>1270</v>
      </c>
      <c r="E181" s="138" t="s">
        <v>585</v>
      </c>
      <c r="F181" s="79" t="s">
        <v>586</v>
      </c>
      <c r="G181" s="102" t="s">
        <v>1292</v>
      </c>
      <c r="H181" s="75" t="s">
        <v>587</v>
      </c>
      <c r="I181" s="75" t="s">
        <v>51</v>
      </c>
      <c r="J181" s="73" t="s">
        <v>70</v>
      </c>
      <c r="K181" s="75" t="s">
        <v>557</v>
      </c>
      <c r="L181" s="75" t="s">
        <v>588</v>
      </c>
      <c r="M181" s="75" t="s">
        <v>1515</v>
      </c>
      <c r="N181" s="75"/>
      <c r="O181" s="75"/>
      <c r="P181" s="76">
        <v>1</v>
      </c>
      <c r="Q181" s="76">
        <v>1</v>
      </c>
      <c r="R181" s="76"/>
      <c r="S181" s="77"/>
      <c r="T181" s="192"/>
      <c r="U181" s="192"/>
      <c r="V181" s="192"/>
      <c r="W181" s="192"/>
      <c r="X181" s="192"/>
      <c r="Y181" s="192"/>
      <c r="Z181" s="192"/>
      <c r="AA181" s="192"/>
      <c r="AB181" s="192"/>
      <c r="AC181" s="192"/>
      <c r="AD181" s="192"/>
      <c r="AE181" s="20" t="str">
        <f t="shared" si="1"/>
        <v>Publicação de metodologia participativa</v>
      </c>
      <c r="AF181" s="20"/>
    </row>
    <row r="182" spans="1:32" ht="79.2" x14ac:dyDescent="0.35">
      <c r="A182" s="60">
        <v>4</v>
      </c>
      <c r="B182" s="61" t="s">
        <v>1268</v>
      </c>
      <c r="C182" s="92" t="s">
        <v>1269</v>
      </c>
      <c r="D182" s="61" t="s">
        <v>1270</v>
      </c>
      <c r="E182" s="138" t="s">
        <v>585</v>
      </c>
      <c r="F182" s="79" t="s">
        <v>586</v>
      </c>
      <c r="G182" s="102" t="s">
        <v>1293</v>
      </c>
      <c r="H182" s="75" t="s">
        <v>589</v>
      </c>
      <c r="I182" s="75" t="s">
        <v>51</v>
      </c>
      <c r="J182" s="73" t="s">
        <v>70</v>
      </c>
      <c r="K182" s="75" t="s">
        <v>557</v>
      </c>
      <c r="L182" s="75" t="s">
        <v>590</v>
      </c>
      <c r="M182" s="75" t="s">
        <v>1515</v>
      </c>
      <c r="N182" s="75"/>
      <c r="O182" s="75"/>
      <c r="P182" s="88">
        <v>1</v>
      </c>
      <c r="Q182" s="88">
        <v>1</v>
      </c>
      <c r="R182" s="76"/>
      <c r="S182" s="77"/>
      <c r="T182" s="192"/>
      <c r="U182" s="192"/>
      <c r="V182" s="192"/>
      <c r="W182" s="192"/>
      <c r="X182" s="192"/>
      <c r="Y182" s="192"/>
      <c r="Z182" s="192"/>
      <c r="AA182" s="192"/>
      <c r="AB182" s="192"/>
      <c r="AC182" s="192"/>
      <c r="AD182" s="192"/>
      <c r="AE182" s="17" t="str">
        <f t="shared" si="1"/>
        <v>Capacitação das equipes das</v>
      </c>
      <c r="AF182" s="17"/>
    </row>
    <row r="183" spans="1:32" ht="79.2" x14ac:dyDescent="0.35">
      <c r="A183" s="60">
        <v>4</v>
      </c>
      <c r="B183" s="61" t="s">
        <v>1268</v>
      </c>
      <c r="C183" s="92" t="s">
        <v>1269</v>
      </c>
      <c r="D183" s="61" t="s">
        <v>1270</v>
      </c>
      <c r="E183" s="138" t="s">
        <v>585</v>
      </c>
      <c r="F183" s="79" t="s">
        <v>586</v>
      </c>
      <c r="G183" s="102" t="s">
        <v>1294</v>
      </c>
      <c r="H183" s="75" t="s">
        <v>591</v>
      </c>
      <c r="I183" s="75" t="s">
        <v>557</v>
      </c>
      <c r="J183" s="73" t="s">
        <v>568</v>
      </c>
      <c r="K183" s="75" t="s">
        <v>51</v>
      </c>
      <c r="L183" s="75" t="s">
        <v>592</v>
      </c>
      <c r="M183" s="75" t="s">
        <v>1515</v>
      </c>
      <c r="N183" s="75"/>
      <c r="O183" s="75"/>
      <c r="P183" s="76">
        <v>200</v>
      </c>
      <c r="Q183" s="76"/>
      <c r="R183" s="76">
        <v>75</v>
      </c>
      <c r="S183" s="77">
        <v>125</v>
      </c>
      <c r="T183" s="192"/>
      <c r="U183" s="192"/>
      <c r="V183" s="192"/>
      <c r="W183" s="192"/>
      <c r="X183" s="192"/>
      <c r="Y183" s="192"/>
      <c r="Z183" s="192"/>
      <c r="AA183" s="192"/>
      <c r="AB183" s="192"/>
      <c r="AC183" s="192"/>
      <c r="AD183" s="192"/>
      <c r="AE183" s="20" t="str">
        <f t="shared" si="1"/>
        <v>Definição de agenda alinhada</v>
      </c>
      <c r="AF183" s="20"/>
    </row>
    <row r="184" spans="1:32" ht="79.2" x14ac:dyDescent="0.35">
      <c r="A184" s="60">
        <v>4</v>
      </c>
      <c r="B184" s="61" t="s">
        <v>1268</v>
      </c>
      <c r="C184" s="92" t="s">
        <v>1269</v>
      </c>
      <c r="D184" s="61" t="s">
        <v>1270</v>
      </c>
      <c r="E184" s="138" t="s">
        <v>585</v>
      </c>
      <c r="F184" s="79" t="s">
        <v>586</v>
      </c>
      <c r="G184" s="102" t="s">
        <v>1295</v>
      </c>
      <c r="H184" s="75" t="s">
        <v>593</v>
      </c>
      <c r="I184" s="75" t="s">
        <v>51</v>
      </c>
      <c r="J184" s="73" t="s">
        <v>70</v>
      </c>
      <c r="K184" s="75" t="s">
        <v>557</v>
      </c>
      <c r="L184" s="75" t="s">
        <v>594</v>
      </c>
      <c r="M184" s="75" t="s">
        <v>1515</v>
      </c>
      <c r="N184" s="75"/>
      <c r="O184" s="75"/>
      <c r="P184" s="76">
        <v>3</v>
      </c>
      <c r="Q184" s="76">
        <v>1</v>
      </c>
      <c r="R184" s="76">
        <v>1</v>
      </c>
      <c r="S184" s="77">
        <v>1</v>
      </c>
      <c r="T184" s="192"/>
      <c r="U184" s="192"/>
      <c r="V184" s="192"/>
      <c r="W184" s="192"/>
      <c r="X184" s="192"/>
      <c r="Y184" s="192"/>
      <c r="Z184" s="192"/>
      <c r="AA184" s="192"/>
      <c r="AB184" s="192"/>
      <c r="AC184" s="192"/>
      <c r="AD184" s="192"/>
      <c r="AE184" s="17" t="str">
        <f t="shared" si="1"/>
        <v>Elaboração e implementação de</v>
      </c>
      <c r="AF184" s="17"/>
    </row>
    <row r="185" spans="1:32" ht="79.2" x14ac:dyDescent="0.35">
      <c r="A185" s="60">
        <v>4</v>
      </c>
      <c r="B185" s="61" t="s">
        <v>1268</v>
      </c>
      <c r="C185" s="92" t="s">
        <v>1269</v>
      </c>
      <c r="D185" s="61" t="s">
        <v>1270</v>
      </c>
      <c r="E185" s="138" t="s">
        <v>585</v>
      </c>
      <c r="F185" s="79" t="s">
        <v>586</v>
      </c>
      <c r="G185" s="102" t="s">
        <v>1296</v>
      </c>
      <c r="H185" s="75" t="s">
        <v>595</v>
      </c>
      <c r="I185" s="75" t="s">
        <v>51</v>
      </c>
      <c r="J185" s="73" t="s">
        <v>70</v>
      </c>
      <c r="K185" s="75" t="s">
        <v>557</v>
      </c>
      <c r="L185" s="75" t="s">
        <v>596</v>
      </c>
      <c r="M185" s="75" t="s">
        <v>1515</v>
      </c>
      <c r="N185" s="75"/>
      <c r="O185" s="75"/>
      <c r="P185" s="76">
        <v>200</v>
      </c>
      <c r="Q185" s="76"/>
      <c r="R185" s="76">
        <v>75</v>
      </c>
      <c r="S185" s="77">
        <v>125</v>
      </c>
      <c r="T185" s="192"/>
      <c r="U185" s="192"/>
      <c r="V185" s="192"/>
      <c r="W185" s="192"/>
      <c r="X185" s="192"/>
      <c r="Y185" s="192"/>
      <c r="Z185" s="192"/>
      <c r="AA185" s="192"/>
      <c r="AB185" s="192"/>
      <c r="AC185" s="192"/>
      <c r="AD185" s="192"/>
      <c r="AE185" s="20" t="str">
        <f t="shared" si="1"/>
        <v>Realização de ciclos de</v>
      </c>
      <c r="AF185" s="20"/>
    </row>
    <row r="186" spans="1:32" ht="79.2" x14ac:dyDescent="0.35">
      <c r="A186" s="60">
        <v>4</v>
      </c>
      <c r="B186" s="61" t="s">
        <v>1268</v>
      </c>
      <c r="C186" s="92" t="s">
        <v>1271</v>
      </c>
      <c r="D186" s="61" t="s">
        <v>1297</v>
      </c>
      <c r="E186" s="138" t="s">
        <v>597</v>
      </c>
      <c r="F186" s="79" t="s">
        <v>598</v>
      </c>
      <c r="G186" s="102" t="s">
        <v>1298</v>
      </c>
      <c r="H186" s="98" t="s">
        <v>599</v>
      </c>
      <c r="I186" s="98" t="s">
        <v>51</v>
      </c>
      <c r="J186" s="79" t="s">
        <v>70</v>
      </c>
      <c r="K186" s="79" t="s">
        <v>600</v>
      </c>
      <c r="L186" s="75" t="s">
        <v>121</v>
      </c>
      <c r="M186" s="75" t="s">
        <v>1515</v>
      </c>
      <c r="N186" s="75"/>
      <c r="O186" s="75"/>
      <c r="P186" s="76">
        <v>1</v>
      </c>
      <c r="Q186" s="76">
        <v>1</v>
      </c>
      <c r="R186" s="76"/>
      <c r="S186" s="77"/>
      <c r="T186" s="192"/>
      <c r="U186" s="192"/>
      <c r="V186" s="192"/>
      <c r="W186" s="192"/>
      <c r="X186" s="192"/>
      <c r="Y186" s="192"/>
      <c r="Z186" s="192"/>
      <c r="AA186" s="192"/>
      <c r="AB186" s="192"/>
      <c r="AC186" s="192"/>
      <c r="AD186" s="192"/>
      <c r="AE186" s="17" t="str">
        <f t="shared" si="1"/>
        <v>Elaboração de conteúdo dos</v>
      </c>
      <c r="AF186" s="17"/>
    </row>
    <row r="187" spans="1:32" ht="79.2" x14ac:dyDescent="0.35">
      <c r="A187" s="60">
        <v>4</v>
      </c>
      <c r="B187" s="61" t="s">
        <v>1268</v>
      </c>
      <c r="C187" s="92" t="s">
        <v>1271</v>
      </c>
      <c r="D187" s="61" t="s">
        <v>1297</v>
      </c>
      <c r="E187" s="138" t="s">
        <v>597</v>
      </c>
      <c r="F187" s="79" t="s">
        <v>598</v>
      </c>
      <c r="G187" s="102" t="s">
        <v>1298</v>
      </c>
      <c r="H187" s="98" t="s">
        <v>599</v>
      </c>
      <c r="I187" s="98" t="s">
        <v>51</v>
      </c>
      <c r="J187" s="79" t="s">
        <v>70</v>
      </c>
      <c r="K187" s="79" t="s">
        <v>600</v>
      </c>
      <c r="L187" s="75" t="s">
        <v>601</v>
      </c>
      <c r="M187" s="75" t="s">
        <v>1515</v>
      </c>
      <c r="N187" s="75"/>
      <c r="O187" s="75"/>
      <c r="P187" s="76">
        <v>1</v>
      </c>
      <c r="Q187" s="76">
        <v>1</v>
      </c>
      <c r="R187" s="76"/>
      <c r="S187" s="77"/>
      <c r="T187" s="192"/>
      <c r="U187" s="192"/>
      <c r="V187" s="192"/>
      <c r="W187" s="192"/>
      <c r="X187" s="192"/>
      <c r="Y187" s="192"/>
      <c r="Z187" s="192"/>
      <c r="AA187" s="192"/>
      <c r="AB187" s="192"/>
      <c r="AC187" s="192"/>
      <c r="AD187" s="192"/>
      <c r="AE187" s="20" t="str">
        <f t="shared" si="1"/>
        <v>Elaboração de conteúdo dos</v>
      </c>
      <c r="AF187" s="20"/>
    </row>
    <row r="188" spans="1:32" ht="79.2" x14ac:dyDescent="0.35">
      <c r="A188" s="60">
        <v>4</v>
      </c>
      <c r="B188" s="61" t="s">
        <v>1268</v>
      </c>
      <c r="C188" s="92" t="s">
        <v>1271</v>
      </c>
      <c r="D188" s="61" t="s">
        <v>1297</v>
      </c>
      <c r="E188" s="138" t="s">
        <v>597</v>
      </c>
      <c r="F188" s="79" t="s">
        <v>598</v>
      </c>
      <c r="G188" s="102" t="s">
        <v>1299</v>
      </c>
      <c r="H188" s="81" t="s">
        <v>602</v>
      </c>
      <c r="I188" s="75" t="s">
        <v>42</v>
      </c>
      <c r="J188" s="73" t="s">
        <v>43</v>
      </c>
      <c r="K188" s="75" t="s">
        <v>603</v>
      </c>
      <c r="L188" s="75" t="s">
        <v>604</v>
      </c>
      <c r="M188" s="75" t="s">
        <v>1515</v>
      </c>
      <c r="N188" s="75"/>
      <c r="O188" s="75"/>
      <c r="P188" s="76">
        <v>1</v>
      </c>
      <c r="Q188" s="76"/>
      <c r="R188" s="76">
        <v>1</v>
      </c>
      <c r="S188" s="77"/>
      <c r="T188" s="192"/>
      <c r="U188" s="192"/>
      <c r="V188" s="192"/>
      <c r="W188" s="192"/>
      <c r="X188" s="192"/>
      <c r="Y188" s="192"/>
      <c r="Z188" s="192"/>
      <c r="AA188" s="192"/>
      <c r="AB188" s="192"/>
      <c r="AC188" s="192"/>
      <c r="AD188" s="192"/>
      <c r="AE188" s="17" t="str">
        <f t="shared" si="1"/>
        <v>Implantação de ferramenta de</v>
      </c>
      <c r="AF188" s="17"/>
    </row>
    <row r="189" spans="1:32" ht="79.2" x14ac:dyDescent="0.35">
      <c r="A189" s="60">
        <v>4</v>
      </c>
      <c r="B189" s="61" t="s">
        <v>1268</v>
      </c>
      <c r="C189" s="92" t="s">
        <v>1271</v>
      </c>
      <c r="D189" s="61" t="s">
        <v>1297</v>
      </c>
      <c r="E189" s="138" t="s">
        <v>605</v>
      </c>
      <c r="F189" s="79" t="s">
        <v>606</v>
      </c>
      <c r="G189" s="102" t="s">
        <v>1300</v>
      </c>
      <c r="H189" s="81" t="s">
        <v>607</v>
      </c>
      <c r="I189" s="75" t="s">
        <v>51</v>
      </c>
      <c r="J189" s="73" t="s">
        <v>70</v>
      </c>
      <c r="K189" s="75" t="s">
        <v>42</v>
      </c>
      <c r="L189" s="75" t="s">
        <v>608</v>
      </c>
      <c r="M189" s="75" t="s">
        <v>1515</v>
      </c>
      <c r="N189" s="75"/>
      <c r="O189" s="75"/>
      <c r="P189" s="88">
        <v>1</v>
      </c>
      <c r="Q189" s="88">
        <v>0.5</v>
      </c>
      <c r="R189" s="88">
        <v>1</v>
      </c>
      <c r="S189" s="77"/>
      <c r="T189" s="192"/>
      <c r="U189" s="192"/>
      <c r="V189" s="192"/>
      <c r="W189" s="192"/>
      <c r="X189" s="192"/>
      <c r="Y189" s="192"/>
      <c r="Z189" s="192"/>
      <c r="AA189" s="192"/>
      <c r="AB189" s="192"/>
      <c r="AC189" s="192"/>
      <c r="AD189" s="192"/>
      <c r="AE189" s="20" t="str">
        <f t="shared" si="1"/>
        <v>Disseminação de conteúdo dos</v>
      </c>
      <c r="AF189" s="20"/>
    </row>
    <row r="190" spans="1:32" ht="79.2" x14ac:dyDescent="0.35">
      <c r="A190" s="60">
        <v>4</v>
      </c>
      <c r="B190" s="61" t="s">
        <v>1268</v>
      </c>
      <c r="C190" s="92" t="s">
        <v>1271</v>
      </c>
      <c r="D190" s="61" t="s">
        <v>1297</v>
      </c>
      <c r="E190" s="138" t="s">
        <v>605</v>
      </c>
      <c r="F190" s="79" t="s">
        <v>606</v>
      </c>
      <c r="G190" s="102" t="s">
        <v>1301</v>
      </c>
      <c r="H190" s="81" t="s">
        <v>609</v>
      </c>
      <c r="I190" s="75" t="s">
        <v>42</v>
      </c>
      <c r="J190" s="73" t="s">
        <v>610</v>
      </c>
      <c r="K190" s="75" t="s">
        <v>611</v>
      </c>
      <c r="L190" s="75" t="s">
        <v>612</v>
      </c>
      <c r="M190" s="75" t="s">
        <v>1515</v>
      </c>
      <c r="N190" s="75"/>
      <c r="O190" s="75"/>
      <c r="P190" s="76">
        <v>1</v>
      </c>
      <c r="Q190" s="88"/>
      <c r="R190" s="88"/>
      <c r="S190" s="77">
        <v>1</v>
      </c>
      <c r="T190" s="192"/>
      <c r="U190" s="192"/>
      <c r="V190" s="192"/>
      <c r="W190" s="192"/>
      <c r="X190" s="192"/>
      <c r="Y190" s="192"/>
      <c r="Z190" s="192"/>
      <c r="AA190" s="192"/>
      <c r="AB190" s="192"/>
      <c r="AC190" s="192"/>
      <c r="AD190" s="192"/>
      <c r="AE190" s="17" t="str">
        <f t="shared" si="1"/>
        <v>Criação de espaços permanentes</v>
      </c>
      <c r="AF190" s="17"/>
    </row>
    <row r="191" spans="1:32" ht="92.4" x14ac:dyDescent="0.35">
      <c r="A191" s="60">
        <v>4</v>
      </c>
      <c r="B191" s="61" t="s">
        <v>1268</v>
      </c>
      <c r="C191" s="92" t="s">
        <v>1272</v>
      </c>
      <c r="D191" s="61" t="s">
        <v>1302</v>
      </c>
      <c r="E191" s="138" t="s">
        <v>613</v>
      </c>
      <c r="F191" s="79" t="s">
        <v>614</v>
      </c>
      <c r="G191" s="102" t="s">
        <v>1303</v>
      </c>
      <c r="H191" s="79" t="s">
        <v>615</v>
      </c>
      <c r="I191" s="79" t="s">
        <v>51</v>
      </c>
      <c r="J191" s="98" t="s">
        <v>70</v>
      </c>
      <c r="K191" s="79" t="s">
        <v>616</v>
      </c>
      <c r="L191" s="75" t="s">
        <v>617</v>
      </c>
      <c r="M191" s="75" t="s">
        <v>1515</v>
      </c>
      <c r="N191" s="75"/>
      <c r="O191" s="75"/>
      <c r="P191" s="76">
        <v>6</v>
      </c>
      <c r="Q191" s="76">
        <v>6</v>
      </c>
      <c r="R191" s="76"/>
      <c r="S191" s="77"/>
      <c r="T191" s="192"/>
      <c r="U191" s="192"/>
      <c r="V191" s="192"/>
      <c r="W191" s="192"/>
      <c r="X191" s="192"/>
      <c r="Y191" s="192"/>
      <c r="Z191" s="192"/>
      <c r="AA191" s="192"/>
      <c r="AB191" s="192"/>
      <c r="AC191" s="192"/>
      <c r="AD191" s="192"/>
      <c r="AE191" s="20" t="str">
        <f t="shared" si="1"/>
        <v>Revisão dos conteúdos das</v>
      </c>
      <c r="AF191" s="20"/>
    </row>
    <row r="192" spans="1:32" ht="92.4" x14ac:dyDescent="0.35">
      <c r="A192" s="60">
        <v>4</v>
      </c>
      <c r="B192" s="61" t="s">
        <v>1268</v>
      </c>
      <c r="C192" s="92" t="s">
        <v>1272</v>
      </c>
      <c r="D192" s="61" t="s">
        <v>1302</v>
      </c>
      <c r="E192" s="138" t="s">
        <v>613</v>
      </c>
      <c r="F192" s="79" t="s">
        <v>614</v>
      </c>
      <c r="G192" s="102" t="s">
        <v>1304</v>
      </c>
      <c r="H192" s="79" t="s">
        <v>615</v>
      </c>
      <c r="I192" s="79" t="s">
        <v>51</v>
      </c>
      <c r="J192" s="98" t="s">
        <v>70</v>
      </c>
      <c r="K192" s="79" t="s">
        <v>616</v>
      </c>
      <c r="L192" s="75" t="s">
        <v>618</v>
      </c>
      <c r="M192" s="75" t="s">
        <v>1515</v>
      </c>
      <c r="N192" s="75"/>
      <c r="O192" s="75"/>
      <c r="P192" s="88">
        <v>1</v>
      </c>
      <c r="Q192" s="76"/>
      <c r="R192" s="76"/>
      <c r="S192" s="140">
        <v>1</v>
      </c>
      <c r="T192" s="199"/>
      <c r="U192" s="199"/>
      <c r="V192" s="199"/>
      <c r="W192" s="199"/>
      <c r="X192" s="199"/>
      <c r="Y192" s="199"/>
      <c r="Z192" s="199"/>
      <c r="AA192" s="199"/>
      <c r="AB192" s="199"/>
      <c r="AC192" s="199"/>
      <c r="AD192" s="199"/>
      <c r="AE192" s="17" t="str">
        <f t="shared" si="1"/>
        <v>Revisão dos conteúdos das</v>
      </c>
      <c r="AF192" s="17"/>
    </row>
    <row r="193" spans="1:32" ht="92.4" x14ac:dyDescent="0.35">
      <c r="A193" s="60">
        <v>4</v>
      </c>
      <c r="B193" s="61" t="s">
        <v>1268</v>
      </c>
      <c r="C193" s="92" t="s">
        <v>1272</v>
      </c>
      <c r="D193" s="61" t="s">
        <v>1302</v>
      </c>
      <c r="E193" s="138" t="s">
        <v>619</v>
      </c>
      <c r="F193" s="79" t="s">
        <v>620</v>
      </c>
      <c r="G193" s="102" t="s">
        <v>1305</v>
      </c>
      <c r="H193" s="79" t="s">
        <v>621</v>
      </c>
      <c r="I193" s="79" t="s">
        <v>51</v>
      </c>
      <c r="J193" s="79" t="s">
        <v>70</v>
      </c>
      <c r="K193" s="79"/>
      <c r="L193" s="75" t="s">
        <v>622</v>
      </c>
      <c r="M193" s="75" t="s">
        <v>1515</v>
      </c>
      <c r="N193" s="75"/>
      <c r="O193" s="75"/>
      <c r="P193" s="76">
        <v>1</v>
      </c>
      <c r="Q193" s="76">
        <v>1</v>
      </c>
      <c r="R193" s="76"/>
      <c r="S193" s="77"/>
      <c r="T193" s="192"/>
      <c r="U193" s="192"/>
      <c r="V193" s="192"/>
      <c r="W193" s="192"/>
      <c r="X193" s="192"/>
      <c r="Y193" s="192"/>
      <c r="Z193" s="192"/>
      <c r="AA193" s="192"/>
      <c r="AB193" s="192"/>
      <c r="AC193" s="192"/>
      <c r="AD193" s="192"/>
      <c r="AE193" s="20" t="str">
        <f t="shared" si="1"/>
        <v>Avaliação e homologação dos</v>
      </c>
      <c r="AF193" s="20"/>
    </row>
    <row r="194" spans="1:32" ht="92.4" x14ac:dyDescent="0.35">
      <c r="A194" s="60">
        <v>4</v>
      </c>
      <c r="B194" s="61" t="s">
        <v>1268</v>
      </c>
      <c r="C194" s="92" t="s">
        <v>1272</v>
      </c>
      <c r="D194" s="61" t="s">
        <v>1302</v>
      </c>
      <c r="E194" s="138" t="s">
        <v>619</v>
      </c>
      <c r="F194" s="79" t="s">
        <v>620</v>
      </c>
      <c r="G194" s="102" t="s">
        <v>1305</v>
      </c>
      <c r="H194" s="79" t="s">
        <v>621</v>
      </c>
      <c r="I194" s="79" t="s">
        <v>51</v>
      </c>
      <c r="J194" s="79" t="s">
        <v>70</v>
      </c>
      <c r="K194" s="79"/>
      <c r="L194" s="75" t="s">
        <v>623</v>
      </c>
      <c r="M194" s="75" t="s">
        <v>1515</v>
      </c>
      <c r="N194" s="75"/>
      <c r="O194" s="75"/>
      <c r="P194" s="88">
        <v>1</v>
      </c>
      <c r="Q194" s="76"/>
      <c r="R194" s="88">
        <v>1</v>
      </c>
      <c r="S194" s="77"/>
      <c r="T194" s="192"/>
      <c r="U194" s="192"/>
      <c r="V194" s="192"/>
      <c r="W194" s="192"/>
      <c r="X194" s="192"/>
      <c r="Y194" s="192"/>
      <c r="Z194" s="192"/>
      <c r="AA194" s="192"/>
      <c r="AB194" s="192"/>
      <c r="AC194" s="192"/>
      <c r="AD194" s="192"/>
      <c r="AE194" s="17" t="str">
        <f t="shared" si="1"/>
        <v>Avaliação e homologação dos</v>
      </c>
      <c r="AF194" s="17"/>
    </row>
    <row r="195" spans="1:32" ht="92.4" x14ac:dyDescent="0.35">
      <c r="A195" s="60">
        <v>4</v>
      </c>
      <c r="B195" s="61" t="s">
        <v>1268</v>
      </c>
      <c r="C195" s="92" t="s">
        <v>1272</v>
      </c>
      <c r="D195" s="61" t="s">
        <v>1302</v>
      </c>
      <c r="E195" s="138" t="s">
        <v>619</v>
      </c>
      <c r="F195" s="79" t="s">
        <v>620</v>
      </c>
      <c r="G195" s="102" t="s">
        <v>1306</v>
      </c>
      <c r="H195" s="79" t="s">
        <v>624</v>
      </c>
      <c r="I195" s="79" t="s">
        <v>51</v>
      </c>
      <c r="J195" s="79" t="s">
        <v>70</v>
      </c>
      <c r="K195" s="79"/>
      <c r="L195" s="75" t="s">
        <v>625</v>
      </c>
      <c r="M195" s="75" t="s">
        <v>1515</v>
      </c>
      <c r="N195" s="75"/>
      <c r="O195" s="75"/>
      <c r="P195" s="76">
        <v>1</v>
      </c>
      <c r="Q195" s="76">
        <v>1</v>
      </c>
      <c r="R195" s="88"/>
      <c r="S195" s="77"/>
      <c r="T195" s="192"/>
      <c r="U195" s="192"/>
      <c r="V195" s="192"/>
      <c r="W195" s="192"/>
      <c r="X195" s="192"/>
      <c r="Y195" s="192"/>
      <c r="Z195" s="192"/>
      <c r="AA195" s="192"/>
      <c r="AB195" s="192"/>
      <c r="AC195" s="192"/>
      <c r="AD195" s="192"/>
      <c r="AE195" s="20" t="str">
        <f t="shared" si="1"/>
        <v>Implementação de programa de</v>
      </c>
      <c r="AF195" s="20"/>
    </row>
    <row r="196" spans="1:32" ht="92.4" x14ac:dyDescent="0.35">
      <c r="A196" s="60">
        <v>4</v>
      </c>
      <c r="B196" s="61" t="s">
        <v>1268</v>
      </c>
      <c r="C196" s="92" t="s">
        <v>1272</v>
      </c>
      <c r="D196" s="61" t="s">
        <v>1302</v>
      </c>
      <c r="E196" s="138" t="s">
        <v>619</v>
      </c>
      <c r="F196" s="79" t="s">
        <v>620</v>
      </c>
      <c r="G196" s="102" t="s">
        <v>1306</v>
      </c>
      <c r="H196" s="79" t="s">
        <v>624</v>
      </c>
      <c r="I196" s="79" t="s">
        <v>51</v>
      </c>
      <c r="J196" s="79" t="s">
        <v>70</v>
      </c>
      <c r="K196" s="79"/>
      <c r="L196" s="75" t="s">
        <v>626</v>
      </c>
      <c r="M196" s="75" t="s">
        <v>1515</v>
      </c>
      <c r="N196" s="75"/>
      <c r="O196" s="75"/>
      <c r="P196" s="76">
        <v>1</v>
      </c>
      <c r="Q196" s="76"/>
      <c r="R196" s="76">
        <v>1</v>
      </c>
      <c r="S196" s="77"/>
      <c r="T196" s="192"/>
      <c r="U196" s="192"/>
      <c r="V196" s="192"/>
      <c r="W196" s="192"/>
      <c r="X196" s="192"/>
      <c r="Y196" s="192"/>
      <c r="Z196" s="192"/>
      <c r="AA196" s="192"/>
      <c r="AB196" s="192"/>
      <c r="AC196" s="192"/>
      <c r="AD196" s="192"/>
      <c r="AE196" s="17" t="str">
        <f t="shared" si="1"/>
        <v>Implementação de programa de</v>
      </c>
      <c r="AF196" s="17"/>
    </row>
    <row r="197" spans="1:32" ht="92.4" x14ac:dyDescent="0.35">
      <c r="A197" s="60">
        <v>4</v>
      </c>
      <c r="B197" s="61" t="s">
        <v>1268</v>
      </c>
      <c r="C197" s="92" t="s">
        <v>1272</v>
      </c>
      <c r="D197" s="61" t="s">
        <v>1302</v>
      </c>
      <c r="E197" s="138" t="s">
        <v>619</v>
      </c>
      <c r="F197" s="79" t="s">
        <v>620</v>
      </c>
      <c r="G197" s="102" t="s">
        <v>1306</v>
      </c>
      <c r="H197" s="79" t="s">
        <v>624</v>
      </c>
      <c r="I197" s="79" t="s">
        <v>51</v>
      </c>
      <c r="J197" s="79" t="s">
        <v>70</v>
      </c>
      <c r="K197" s="79"/>
      <c r="L197" s="75" t="s">
        <v>627</v>
      </c>
      <c r="M197" s="75" t="s">
        <v>1515</v>
      </c>
      <c r="N197" s="75"/>
      <c r="O197" s="75"/>
      <c r="P197" s="76">
        <v>8</v>
      </c>
      <c r="Q197" s="76"/>
      <c r="R197" s="76">
        <v>3</v>
      </c>
      <c r="S197" s="77">
        <v>5</v>
      </c>
      <c r="T197" s="192"/>
      <c r="U197" s="192"/>
      <c r="V197" s="192"/>
      <c r="W197" s="192"/>
      <c r="X197" s="192"/>
      <c r="Y197" s="192"/>
      <c r="Z197" s="192"/>
      <c r="AA197" s="192"/>
      <c r="AB197" s="192"/>
      <c r="AC197" s="192"/>
      <c r="AD197" s="192"/>
      <c r="AE197" s="20" t="str">
        <f t="shared" si="1"/>
        <v>Implementação de programa de</v>
      </c>
      <c r="AF197" s="20"/>
    </row>
    <row r="198" spans="1:32" ht="92.4" x14ac:dyDescent="0.35">
      <c r="A198" s="60">
        <v>4</v>
      </c>
      <c r="B198" s="61" t="s">
        <v>1268</v>
      </c>
      <c r="C198" s="92" t="s">
        <v>1272</v>
      </c>
      <c r="D198" s="61" t="s">
        <v>1302</v>
      </c>
      <c r="E198" s="138" t="s">
        <v>628</v>
      </c>
      <c r="F198" s="79" t="s">
        <v>629</v>
      </c>
      <c r="G198" s="102" t="s">
        <v>1307</v>
      </c>
      <c r="H198" s="81" t="s">
        <v>630</v>
      </c>
      <c r="I198" s="75" t="s">
        <v>42</v>
      </c>
      <c r="J198" s="73" t="s">
        <v>47</v>
      </c>
      <c r="K198" s="75" t="s">
        <v>631</v>
      </c>
      <c r="L198" s="75" t="s">
        <v>632</v>
      </c>
      <c r="M198" s="75" t="s">
        <v>1515</v>
      </c>
      <c r="N198" s="75"/>
      <c r="O198" s="75"/>
      <c r="P198" s="76">
        <v>1</v>
      </c>
      <c r="Q198" s="76">
        <v>1</v>
      </c>
      <c r="R198" s="76"/>
      <c r="S198" s="77"/>
      <c r="T198" s="192"/>
      <c r="U198" s="192"/>
      <c r="V198" s="192"/>
      <c r="W198" s="192"/>
      <c r="X198" s="192"/>
      <c r="Y198" s="192"/>
      <c r="Z198" s="192"/>
      <c r="AA198" s="192"/>
      <c r="AB198" s="192"/>
      <c r="AC198" s="192"/>
      <c r="AD198" s="192"/>
      <c r="AE198" s="17" t="str">
        <f t="shared" si="1"/>
        <v>Definição unificada das indicações</v>
      </c>
      <c r="AF198" s="17"/>
    </row>
    <row r="199" spans="1:32" ht="92.4" x14ac:dyDescent="0.35">
      <c r="A199" s="60">
        <v>4</v>
      </c>
      <c r="B199" s="61" t="s">
        <v>1268</v>
      </c>
      <c r="C199" s="92" t="s">
        <v>1272</v>
      </c>
      <c r="D199" s="61" t="s">
        <v>1302</v>
      </c>
      <c r="E199" s="138" t="s">
        <v>628</v>
      </c>
      <c r="F199" s="79" t="s">
        <v>629</v>
      </c>
      <c r="G199" s="102" t="s">
        <v>1308</v>
      </c>
      <c r="H199" s="81" t="s">
        <v>633</v>
      </c>
      <c r="I199" s="75" t="s">
        <v>51</v>
      </c>
      <c r="J199" s="73" t="s">
        <v>70</v>
      </c>
      <c r="K199" s="75" t="s">
        <v>634</v>
      </c>
      <c r="L199" s="75" t="s">
        <v>635</v>
      </c>
      <c r="M199" s="75" t="s">
        <v>1515</v>
      </c>
      <c r="N199" s="75"/>
      <c r="O199" s="75"/>
      <c r="P199" s="76">
        <v>1</v>
      </c>
      <c r="Q199" s="76">
        <v>1</v>
      </c>
      <c r="R199" s="76"/>
      <c r="S199" s="77"/>
      <c r="T199" s="192"/>
      <c r="U199" s="192"/>
      <c r="V199" s="192"/>
      <c r="W199" s="192"/>
      <c r="X199" s="192"/>
      <c r="Y199" s="192"/>
      <c r="Z199" s="192"/>
      <c r="AA199" s="192"/>
      <c r="AB199" s="192"/>
      <c r="AC199" s="192"/>
      <c r="AD199" s="192"/>
      <c r="AE199" s="20" t="str">
        <f t="shared" si="1"/>
        <v>Elaboração de documento com</v>
      </c>
      <c r="AF199" s="20"/>
    </row>
    <row r="200" spans="1:32" ht="92.4" x14ac:dyDescent="0.35">
      <c r="A200" s="60">
        <v>4</v>
      </c>
      <c r="B200" s="61" t="s">
        <v>1268</v>
      </c>
      <c r="C200" s="92" t="s">
        <v>1272</v>
      </c>
      <c r="D200" s="61" t="s">
        <v>1302</v>
      </c>
      <c r="E200" s="138" t="s">
        <v>636</v>
      </c>
      <c r="F200" s="79" t="s">
        <v>637</v>
      </c>
      <c r="G200" s="102" t="s">
        <v>1309</v>
      </c>
      <c r="H200" s="75" t="s">
        <v>638</v>
      </c>
      <c r="I200" s="75" t="s">
        <v>51</v>
      </c>
      <c r="J200" s="73" t="s">
        <v>639</v>
      </c>
      <c r="K200" s="75"/>
      <c r="L200" s="75" t="s">
        <v>640</v>
      </c>
      <c r="M200" s="75" t="s">
        <v>1515</v>
      </c>
      <c r="N200" s="75"/>
      <c r="O200" s="75"/>
      <c r="P200" s="76">
        <v>1</v>
      </c>
      <c r="Q200" s="76">
        <v>1</v>
      </c>
      <c r="R200" s="76"/>
      <c r="S200" s="77"/>
      <c r="T200" s="192"/>
      <c r="U200" s="192"/>
      <c r="V200" s="192"/>
      <c r="W200" s="192"/>
      <c r="X200" s="192"/>
      <c r="Y200" s="192"/>
      <c r="Z200" s="192"/>
      <c r="AA200" s="192"/>
      <c r="AB200" s="192"/>
      <c r="AC200" s="192"/>
      <c r="AD200" s="192"/>
      <c r="AE200" s="17" t="str">
        <f t="shared" si="1"/>
        <v>Publicação de diagnóstico técnico</v>
      </c>
      <c r="AF200" s="17"/>
    </row>
    <row r="201" spans="1:32" ht="92.4" x14ac:dyDescent="0.35">
      <c r="A201" s="60">
        <v>4</v>
      </c>
      <c r="B201" s="61" t="s">
        <v>1268</v>
      </c>
      <c r="C201" s="92" t="s">
        <v>1272</v>
      </c>
      <c r="D201" s="61" t="s">
        <v>1302</v>
      </c>
      <c r="E201" s="138" t="s">
        <v>636</v>
      </c>
      <c r="F201" s="79" t="s">
        <v>637</v>
      </c>
      <c r="G201" s="102" t="s">
        <v>1310</v>
      </c>
      <c r="H201" s="75" t="s">
        <v>641</v>
      </c>
      <c r="I201" s="75" t="s">
        <v>51</v>
      </c>
      <c r="J201" s="73" t="s">
        <v>639</v>
      </c>
      <c r="K201" s="75"/>
      <c r="L201" s="75" t="s">
        <v>642</v>
      </c>
      <c r="M201" s="75" t="s">
        <v>1515</v>
      </c>
      <c r="N201" s="75"/>
      <c r="O201" s="75"/>
      <c r="P201" s="88">
        <v>1</v>
      </c>
      <c r="Q201" s="88">
        <v>1</v>
      </c>
      <c r="R201" s="76"/>
      <c r="S201" s="77"/>
      <c r="T201" s="192"/>
      <c r="U201" s="192"/>
      <c r="V201" s="192"/>
      <c r="W201" s="192"/>
      <c r="X201" s="192"/>
      <c r="Y201" s="192"/>
      <c r="Z201" s="192"/>
      <c r="AA201" s="192"/>
      <c r="AB201" s="192"/>
      <c r="AC201" s="192"/>
      <c r="AD201" s="192"/>
      <c r="AE201" s="20" t="str">
        <f t="shared" si="1"/>
        <v>Implantação das adequações conforme</v>
      </c>
      <c r="AF201" s="20"/>
    </row>
    <row r="202" spans="1:32" ht="92.4" x14ac:dyDescent="0.35">
      <c r="A202" s="60">
        <v>4</v>
      </c>
      <c r="B202" s="61" t="s">
        <v>1268</v>
      </c>
      <c r="C202" s="92" t="s">
        <v>1272</v>
      </c>
      <c r="D202" s="61" t="s">
        <v>1302</v>
      </c>
      <c r="E202" s="138" t="s">
        <v>643</v>
      </c>
      <c r="F202" s="79" t="s">
        <v>644</v>
      </c>
      <c r="G202" s="102" t="s">
        <v>1311</v>
      </c>
      <c r="H202" s="75" t="s">
        <v>645</v>
      </c>
      <c r="I202" s="75" t="s">
        <v>51</v>
      </c>
      <c r="J202" s="73" t="s">
        <v>646</v>
      </c>
      <c r="K202" s="75" t="s">
        <v>647</v>
      </c>
      <c r="L202" s="75" t="s">
        <v>648</v>
      </c>
      <c r="M202" s="75" t="s">
        <v>1515</v>
      </c>
      <c r="N202" s="75"/>
      <c r="O202" s="75"/>
      <c r="P202" s="76">
        <v>1</v>
      </c>
      <c r="Q202" s="88"/>
      <c r="R202" s="76">
        <v>1</v>
      </c>
      <c r="S202" s="77"/>
      <c r="T202" s="192"/>
      <c r="U202" s="192"/>
      <c r="V202" s="192"/>
      <c r="W202" s="192"/>
      <c r="X202" s="192"/>
      <c r="Y202" s="192"/>
      <c r="Z202" s="192"/>
      <c r="AA202" s="192"/>
      <c r="AB202" s="192"/>
      <c r="AC202" s="192"/>
      <c r="AD202" s="192"/>
      <c r="AE202" s="17" t="str">
        <f t="shared" si="1"/>
        <v>Adequação dos sistemas digitais</v>
      </c>
      <c r="AF202" s="17"/>
    </row>
    <row r="203" spans="1:32" ht="92.4" x14ac:dyDescent="0.35">
      <c r="A203" s="60">
        <v>4</v>
      </c>
      <c r="B203" s="61" t="s">
        <v>1268</v>
      </c>
      <c r="C203" s="92" t="s">
        <v>1272</v>
      </c>
      <c r="D203" s="61" t="s">
        <v>1302</v>
      </c>
      <c r="E203" s="138" t="s">
        <v>643</v>
      </c>
      <c r="F203" s="79" t="s">
        <v>644</v>
      </c>
      <c r="G203" s="102" t="s">
        <v>1312</v>
      </c>
      <c r="H203" s="79" t="s">
        <v>1313</v>
      </c>
      <c r="I203" s="79" t="s">
        <v>51</v>
      </c>
      <c r="J203" s="106" t="s">
        <v>70</v>
      </c>
      <c r="K203" s="79" t="s">
        <v>649</v>
      </c>
      <c r="L203" s="79" t="s">
        <v>650</v>
      </c>
      <c r="M203" s="79" t="s">
        <v>1515</v>
      </c>
      <c r="N203" s="79"/>
      <c r="O203" s="79"/>
      <c r="P203" s="102">
        <v>24</v>
      </c>
      <c r="Q203" s="102">
        <v>9</v>
      </c>
      <c r="R203" s="102"/>
      <c r="S203" s="108">
        <v>15</v>
      </c>
      <c r="T203" s="195"/>
      <c r="U203" s="195"/>
      <c r="V203" s="195"/>
      <c r="W203" s="195"/>
      <c r="X203" s="195"/>
      <c r="Y203" s="195"/>
      <c r="Z203" s="195"/>
      <c r="AA203" s="195"/>
      <c r="AB203" s="195"/>
      <c r="AC203" s="195"/>
      <c r="AD203" s="195"/>
      <c r="AE203" s="19" t="str">
        <f t="shared" si="1"/>
        <v>Produção de conteúdos de</v>
      </c>
      <c r="AF203" s="19"/>
    </row>
    <row r="204" spans="1:32" ht="75" customHeight="1" x14ac:dyDescent="0.35">
      <c r="A204" s="60">
        <v>5</v>
      </c>
      <c r="B204" s="61" t="s">
        <v>1314</v>
      </c>
      <c r="C204" s="92" t="s">
        <v>1315</v>
      </c>
      <c r="D204" s="61" t="s">
        <v>1316</v>
      </c>
      <c r="E204" s="147" t="s">
        <v>651</v>
      </c>
      <c r="F204" s="148" t="s">
        <v>1317</v>
      </c>
      <c r="G204" s="149" t="s">
        <v>1318</v>
      </c>
      <c r="H204" s="150" t="s">
        <v>652</v>
      </c>
      <c r="I204" s="151" t="s">
        <v>51</v>
      </c>
      <c r="J204" s="152" t="s">
        <v>653</v>
      </c>
      <c r="K204" s="151" t="s">
        <v>654</v>
      </c>
      <c r="L204" s="151" t="s">
        <v>655</v>
      </c>
      <c r="M204" s="69" t="s">
        <v>1516</v>
      </c>
      <c r="N204" s="151"/>
      <c r="O204" s="151"/>
      <c r="P204" s="153">
        <v>1</v>
      </c>
      <c r="Q204" s="153">
        <v>1</v>
      </c>
      <c r="R204" s="153"/>
      <c r="S204" s="153"/>
      <c r="T204" s="153"/>
      <c r="U204" s="153"/>
      <c r="V204" s="153"/>
      <c r="W204" s="153"/>
      <c r="X204" s="153"/>
      <c r="Y204" s="153"/>
      <c r="Z204" s="153"/>
      <c r="AA204" s="153"/>
      <c r="AB204" s="153"/>
      <c r="AC204" s="153"/>
      <c r="AD204" s="153"/>
      <c r="AE204" s="37" t="str">
        <f t="shared" si="1"/>
        <v>Criação de guia com</v>
      </c>
      <c r="AF204" s="37"/>
    </row>
    <row r="205" spans="1:32" ht="71.25" customHeight="1" x14ac:dyDescent="0.35">
      <c r="A205" s="60">
        <v>5</v>
      </c>
      <c r="B205" s="61" t="s">
        <v>1314</v>
      </c>
      <c r="C205" s="92" t="s">
        <v>1315</v>
      </c>
      <c r="D205" s="61" t="s">
        <v>1316</v>
      </c>
      <c r="E205" s="147" t="s">
        <v>651</v>
      </c>
      <c r="F205" s="148" t="s">
        <v>1317</v>
      </c>
      <c r="G205" s="149" t="s">
        <v>1319</v>
      </c>
      <c r="H205" s="148" t="s">
        <v>656</v>
      </c>
      <c r="I205" s="148" t="s">
        <v>51</v>
      </c>
      <c r="J205" s="154" t="s">
        <v>653</v>
      </c>
      <c r="K205" s="148" t="s">
        <v>654</v>
      </c>
      <c r="L205" s="151" t="s">
        <v>121</v>
      </c>
      <c r="M205" s="69" t="s">
        <v>1516</v>
      </c>
      <c r="N205" s="151"/>
      <c r="O205" s="151"/>
      <c r="P205" s="153">
        <v>1</v>
      </c>
      <c r="Q205" s="153">
        <v>1</v>
      </c>
      <c r="R205" s="153"/>
      <c r="S205" s="153"/>
      <c r="T205" s="153"/>
      <c r="U205" s="153"/>
      <c r="V205" s="153"/>
      <c r="W205" s="153"/>
      <c r="X205" s="153"/>
      <c r="Y205" s="153"/>
      <c r="Z205" s="153"/>
      <c r="AA205" s="153"/>
      <c r="AB205" s="153"/>
      <c r="AC205" s="153"/>
      <c r="AD205" s="153"/>
      <c r="AE205" s="41" t="str">
        <f t="shared" si="1"/>
        <v>Publicação de guia com</v>
      </c>
      <c r="AF205" s="41"/>
    </row>
    <row r="206" spans="1:32" ht="75" x14ac:dyDescent="0.35">
      <c r="A206" s="60">
        <v>5</v>
      </c>
      <c r="B206" s="61" t="s">
        <v>1314</v>
      </c>
      <c r="C206" s="92" t="s">
        <v>1315</v>
      </c>
      <c r="D206" s="61" t="s">
        <v>1316</v>
      </c>
      <c r="E206" s="147" t="s">
        <v>651</v>
      </c>
      <c r="F206" s="148" t="s">
        <v>1317</v>
      </c>
      <c r="G206" s="149" t="s">
        <v>1320</v>
      </c>
      <c r="H206" s="148" t="s">
        <v>656</v>
      </c>
      <c r="I206" s="148" t="s">
        <v>51</v>
      </c>
      <c r="J206" s="154" t="s">
        <v>653</v>
      </c>
      <c r="K206" s="148" t="s">
        <v>654</v>
      </c>
      <c r="L206" s="151" t="s">
        <v>657</v>
      </c>
      <c r="M206" s="69" t="s">
        <v>1516</v>
      </c>
      <c r="N206" s="151"/>
      <c r="O206" s="151"/>
      <c r="P206" s="155">
        <v>0.9</v>
      </c>
      <c r="Q206" s="153"/>
      <c r="R206" s="155">
        <v>0.5</v>
      </c>
      <c r="S206" s="155">
        <v>0.9</v>
      </c>
      <c r="T206" s="155"/>
      <c r="U206" s="155"/>
      <c r="V206" s="155"/>
      <c r="W206" s="155"/>
      <c r="X206" s="155"/>
      <c r="Y206" s="155"/>
      <c r="Z206" s="155"/>
      <c r="AA206" s="155"/>
      <c r="AB206" s="155"/>
      <c r="AC206" s="155"/>
      <c r="AD206" s="155"/>
      <c r="AE206" s="37" t="str">
        <f t="shared" si="1"/>
        <v>Publicação de guia com</v>
      </c>
      <c r="AF206" s="37"/>
    </row>
    <row r="207" spans="1:32" ht="71.25" customHeight="1" x14ac:dyDescent="0.35">
      <c r="A207" s="60">
        <v>5</v>
      </c>
      <c r="B207" s="61" t="s">
        <v>1314</v>
      </c>
      <c r="C207" s="92" t="s">
        <v>1315</v>
      </c>
      <c r="D207" s="61" t="s">
        <v>1316</v>
      </c>
      <c r="E207" s="147" t="s">
        <v>658</v>
      </c>
      <c r="F207" s="148" t="s">
        <v>659</v>
      </c>
      <c r="G207" s="149" t="s">
        <v>1321</v>
      </c>
      <c r="H207" s="150" t="s">
        <v>660</v>
      </c>
      <c r="I207" s="151" t="s">
        <v>51</v>
      </c>
      <c r="J207" s="152" t="s">
        <v>653</v>
      </c>
      <c r="K207" s="151" t="s">
        <v>654</v>
      </c>
      <c r="L207" s="151" t="s">
        <v>517</v>
      </c>
      <c r="M207" s="69" t="s">
        <v>1516</v>
      </c>
      <c r="N207" s="151"/>
      <c r="O207" s="151"/>
      <c r="P207" s="153">
        <v>1</v>
      </c>
      <c r="Q207" s="153">
        <v>1</v>
      </c>
      <c r="R207" s="153"/>
      <c r="S207" s="153"/>
      <c r="T207" s="153"/>
      <c r="U207" s="153"/>
      <c r="V207" s="153"/>
      <c r="W207" s="153"/>
      <c r="X207" s="153"/>
      <c r="Y207" s="153"/>
      <c r="Z207" s="153"/>
      <c r="AA207" s="153"/>
      <c r="AB207" s="153"/>
      <c r="AC207" s="153"/>
      <c r="AD207" s="153"/>
      <c r="AE207" s="41" t="str">
        <f t="shared" si="1"/>
        <v>Elaboração do Plano Anual</v>
      </c>
      <c r="AF207" s="41"/>
    </row>
    <row r="208" spans="1:32" ht="75" x14ac:dyDescent="0.35">
      <c r="A208" s="60">
        <v>5</v>
      </c>
      <c r="B208" s="61" t="s">
        <v>1314</v>
      </c>
      <c r="C208" s="92" t="s">
        <v>1315</v>
      </c>
      <c r="D208" s="61" t="s">
        <v>1316</v>
      </c>
      <c r="E208" s="147" t="s">
        <v>658</v>
      </c>
      <c r="F208" s="148" t="s">
        <v>659</v>
      </c>
      <c r="G208" s="149" t="s">
        <v>1322</v>
      </c>
      <c r="H208" s="150" t="s">
        <v>661</v>
      </c>
      <c r="I208" s="151" t="s">
        <v>51</v>
      </c>
      <c r="J208" s="152" t="s">
        <v>653</v>
      </c>
      <c r="K208" s="151" t="s">
        <v>654</v>
      </c>
      <c r="L208" s="151" t="s">
        <v>662</v>
      </c>
      <c r="M208" s="69" t="s">
        <v>1516</v>
      </c>
      <c r="N208" s="151"/>
      <c r="O208" s="151"/>
      <c r="P208" s="153">
        <v>10</v>
      </c>
      <c r="Q208" s="153">
        <v>2</v>
      </c>
      <c r="R208" s="153">
        <v>3</v>
      </c>
      <c r="S208" s="153">
        <v>5</v>
      </c>
      <c r="T208" s="153"/>
      <c r="U208" s="153"/>
      <c r="V208" s="153"/>
      <c r="W208" s="153"/>
      <c r="X208" s="153"/>
      <c r="Y208" s="153"/>
      <c r="Z208" s="153"/>
      <c r="AA208" s="153"/>
      <c r="AB208" s="153"/>
      <c r="AC208" s="153"/>
      <c r="AD208" s="153"/>
      <c r="AE208" s="37" t="str">
        <f t="shared" si="1"/>
        <v>Execução de brand lift</v>
      </c>
      <c r="AF208" s="37"/>
    </row>
    <row r="209" spans="1:32" ht="75" x14ac:dyDescent="0.35">
      <c r="A209" s="60">
        <v>5</v>
      </c>
      <c r="B209" s="61" t="s">
        <v>1314</v>
      </c>
      <c r="C209" s="92" t="s">
        <v>1315</v>
      </c>
      <c r="D209" s="61" t="s">
        <v>1316</v>
      </c>
      <c r="E209" s="147" t="s">
        <v>658</v>
      </c>
      <c r="F209" s="148" t="s">
        <v>659</v>
      </c>
      <c r="G209" s="149" t="s">
        <v>1323</v>
      </c>
      <c r="H209" s="150" t="s">
        <v>663</v>
      </c>
      <c r="I209" s="151" t="s">
        <v>51</v>
      </c>
      <c r="J209" s="152" t="s">
        <v>653</v>
      </c>
      <c r="K209" s="151" t="s">
        <v>664</v>
      </c>
      <c r="L209" s="151" t="s">
        <v>665</v>
      </c>
      <c r="M209" s="69" t="s">
        <v>1516</v>
      </c>
      <c r="N209" s="151"/>
      <c r="O209" s="151"/>
      <c r="P209" s="153">
        <v>10</v>
      </c>
      <c r="Q209" s="153">
        <v>2</v>
      </c>
      <c r="R209" s="153">
        <v>3</v>
      </c>
      <c r="S209" s="153">
        <v>5</v>
      </c>
      <c r="T209" s="153"/>
      <c r="U209" s="153"/>
      <c r="V209" s="153"/>
      <c r="W209" s="153"/>
      <c r="X209" s="153"/>
      <c r="Y209" s="153"/>
      <c r="Z209" s="153"/>
      <c r="AA209" s="153"/>
      <c r="AB209" s="153"/>
      <c r="AC209" s="153"/>
      <c r="AD209" s="153"/>
      <c r="AE209" s="41" t="str">
        <f t="shared" si="1"/>
        <v>Execução de teste de</v>
      </c>
      <c r="AF209" s="41"/>
    </row>
    <row r="210" spans="1:32" ht="75" x14ac:dyDescent="0.35">
      <c r="A210" s="60">
        <v>5</v>
      </c>
      <c r="B210" s="61" t="s">
        <v>1314</v>
      </c>
      <c r="C210" s="92" t="s">
        <v>1315</v>
      </c>
      <c r="D210" s="61" t="s">
        <v>1316</v>
      </c>
      <c r="E210" s="147" t="s">
        <v>658</v>
      </c>
      <c r="F210" s="148" t="s">
        <v>659</v>
      </c>
      <c r="G210" s="149" t="s">
        <v>1324</v>
      </c>
      <c r="H210" s="150" t="s">
        <v>666</v>
      </c>
      <c r="I210" s="151" t="s">
        <v>51</v>
      </c>
      <c r="J210" s="152" t="s">
        <v>653</v>
      </c>
      <c r="K210" s="151" t="s">
        <v>654</v>
      </c>
      <c r="L210" s="151" t="s">
        <v>604</v>
      </c>
      <c r="M210" s="69" t="s">
        <v>1516</v>
      </c>
      <c r="N210" s="151"/>
      <c r="O210" s="151"/>
      <c r="P210" s="153">
        <v>1</v>
      </c>
      <c r="Q210" s="153">
        <v>1</v>
      </c>
      <c r="R210" s="153"/>
      <c r="S210" s="153"/>
      <c r="T210" s="153"/>
      <c r="U210" s="153"/>
      <c r="V210" s="153"/>
      <c r="W210" s="153"/>
      <c r="X210" s="153"/>
      <c r="Y210" s="153"/>
      <c r="Z210" s="153"/>
      <c r="AA210" s="153"/>
      <c r="AB210" s="153"/>
      <c r="AC210" s="153"/>
      <c r="AD210" s="153"/>
      <c r="AE210" s="37" t="str">
        <f t="shared" si="1"/>
        <v>Implantação de ferramenta de</v>
      </c>
      <c r="AF210" s="37"/>
    </row>
    <row r="211" spans="1:32" ht="71.25" customHeight="1" x14ac:dyDescent="0.35">
      <c r="A211" s="60">
        <v>5</v>
      </c>
      <c r="B211" s="61" t="s">
        <v>1314</v>
      </c>
      <c r="C211" s="92" t="s">
        <v>1315</v>
      </c>
      <c r="D211" s="61" t="s">
        <v>1316</v>
      </c>
      <c r="E211" s="147" t="s">
        <v>667</v>
      </c>
      <c r="F211" s="148" t="s">
        <v>668</v>
      </c>
      <c r="G211" s="149" t="s">
        <v>1325</v>
      </c>
      <c r="H211" s="150" t="s">
        <v>669</v>
      </c>
      <c r="I211" s="151" t="s">
        <v>51</v>
      </c>
      <c r="J211" s="152" t="s">
        <v>653</v>
      </c>
      <c r="K211" s="151" t="s">
        <v>654</v>
      </c>
      <c r="L211" s="151" t="s">
        <v>670</v>
      </c>
      <c r="M211" s="69" t="s">
        <v>1516</v>
      </c>
      <c r="N211" s="151"/>
      <c r="O211" s="151"/>
      <c r="P211" s="153">
        <v>30</v>
      </c>
      <c r="Q211" s="153">
        <v>6</v>
      </c>
      <c r="R211" s="153">
        <v>9</v>
      </c>
      <c r="S211" s="153">
        <v>15</v>
      </c>
      <c r="T211" s="153"/>
      <c r="U211" s="153"/>
      <c r="V211" s="153"/>
      <c r="W211" s="153"/>
      <c r="X211" s="153"/>
      <c r="Y211" s="153"/>
      <c r="Z211" s="153"/>
      <c r="AA211" s="153"/>
      <c r="AB211" s="153"/>
      <c r="AC211" s="153"/>
      <c r="AD211" s="153"/>
      <c r="AE211" s="41" t="str">
        <f t="shared" si="1"/>
        <v>Produção de materiais de</v>
      </c>
      <c r="AF211" s="41"/>
    </row>
    <row r="212" spans="1:32" ht="75" x14ac:dyDescent="0.35">
      <c r="A212" s="60">
        <v>5</v>
      </c>
      <c r="B212" s="61" t="s">
        <v>1314</v>
      </c>
      <c r="C212" s="92" t="s">
        <v>1315</v>
      </c>
      <c r="D212" s="61" t="s">
        <v>1316</v>
      </c>
      <c r="E212" s="147" t="s">
        <v>667</v>
      </c>
      <c r="F212" s="148" t="s">
        <v>668</v>
      </c>
      <c r="G212" s="149" t="s">
        <v>1326</v>
      </c>
      <c r="H212" s="148" t="s">
        <v>671</v>
      </c>
      <c r="I212" s="154" t="s">
        <v>51</v>
      </c>
      <c r="J212" s="154" t="s">
        <v>653</v>
      </c>
      <c r="K212" s="154" t="s">
        <v>654</v>
      </c>
      <c r="L212" s="151" t="s">
        <v>672</v>
      </c>
      <c r="M212" s="69" t="s">
        <v>1516</v>
      </c>
      <c r="N212" s="151"/>
      <c r="O212" s="151"/>
      <c r="P212" s="156">
        <v>1</v>
      </c>
      <c r="Q212" s="156">
        <v>1</v>
      </c>
      <c r="R212" s="157"/>
      <c r="S212" s="157"/>
      <c r="T212" s="157"/>
      <c r="U212" s="157"/>
      <c r="V212" s="157"/>
      <c r="W212" s="157"/>
      <c r="X212" s="157"/>
      <c r="Y212" s="157"/>
      <c r="Z212" s="157"/>
      <c r="AA212" s="157"/>
      <c r="AB212" s="157"/>
      <c r="AC212" s="157"/>
      <c r="AD212" s="157"/>
      <c r="AE212" s="37" t="str">
        <f t="shared" si="1"/>
        <v>Disseminação dos materiais de</v>
      </c>
      <c r="AF212" s="37"/>
    </row>
    <row r="213" spans="1:32" ht="75" x14ac:dyDescent="0.35">
      <c r="A213" s="60">
        <v>5</v>
      </c>
      <c r="B213" s="61" t="s">
        <v>1314</v>
      </c>
      <c r="C213" s="92" t="s">
        <v>1315</v>
      </c>
      <c r="D213" s="61" t="s">
        <v>1316</v>
      </c>
      <c r="E213" s="147" t="s">
        <v>667</v>
      </c>
      <c r="F213" s="148" t="s">
        <v>668</v>
      </c>
      <c r="G213" s="149" t="s">
        <v>1327</v>
      </c>
      <c r="H213" s="148" t="s">
        <v>671</v>
      </c>
      <c r="I213" s="154" t="s">
        <v>51</v>
      </c>
      <c r="J213" s="154" t="s">
        <v>653</v>
      </c>
      <c r="K213" s="154" t="s">
        <v>654</v>
      </c>
      <c r="L213" s="151" t="s">
        <v>673</v>
      </c>
      <c r="M213" s="69" t="s">
        <v>1516</v>
      </c>
      <c r="N213" s="151"/>
      <c r="O213" s="151"/>
      <c r="P213" s="156">
        <v>1</v>
      </c>
      <c r="Q213" s="157"/>
      <c r="R213" s="156">
        <v>0.5</v>
      </c>
      <c r="S213" s="156">
        <v>0.5</v>
      </c>
      <c r="T213" s="156"/>
      <c r="U213" s="156"/>
      <c r="V213" s="156"/>
      <c r="W213" s="156"/>
      <c r="X213" s="156"/>
      <c r="Y213" s="156"/>
      <c r="Z213" s="156"/>
      <c r="AA213" s="156"/>
      <c r="AB213" s="156"/>
      <c r="AC213" s="156"/>
      <c r="AD213" s="156"/>
      <c r="AE213" s="41" t="str">
        <f t="shared" ref="AE213:AE276" si="2">_xlfn.TEXTBEFORE(TRIM(H213), " ", 4)</f>
        <v>Disseminação dos materiais de</v>
      </c>
      <c r="AF213" s="41"/>
    </row>
    <row r="214" spans="1:32" ht="60" x14ac:dyDescent="0.35">
      <c r="A214" s="60">
        <v>5</v>
      </c>
      <c r="B214" s="61" t="s">
        <v>1314</v>
      </c>
      <c r="C214" s="92" t="s">
        <v>1329</v>
      </c>
      <c r="D214" s="61" t="s">
        <v>1328</v>
      </c>
      <c r="E214" s="147" t="s">
        <v>674</v>
      </c>
      <c r="F214" s="148" t="s">
        <v>1330</v>
      </c>
      <c r="G214" s="149" t="s">
        <v>1331</v>
      </c>
      <c r="H214" s="150" t="s">
        <v>675</v>
      </c>
      <c r="I214" s="152" t="s">
        <v>51</v>
      </c>
      <c r="J214" s="152" t="s">
        <v>653</v>
      </c>
      <c r="K214" s="152" t="s">
        <v>42</v>
      </c>
      <c r="L214" s="151" t="s">
        <v>676</v>
      </c>
      <c r="M214" s="151" t="s">
        <v>1515</v>
      </c>
      <c r="N214" s="151"/>
      <c r="O214" s="151"/>
      <c r="P214" s="156">
        <v>1</v>
      </c>
      <c r="Q214" s="156">
        <v>1</v>
      </c>
      <c r="R214" s="157"/>
      <c r="S214" s="157"/>
      <c r="T214" s="157"/>
      <c r="U214" s="157"/>
      <c r="V214" s="157"/>
      <c r="W214" s="157"/>
      <c r="X214" s="157"/>
      <c r="Y214" s="157"/>
      <c r="Z214" s="157"/>
      <c r="AA214" s="157"/>
      <c r="AB214" s="157"/>
      <c r="AC214" s="157"/>
      <c r="AD214" s="157"/>
      <c r="AE214" s="37" t="str">
        <f t="shared" si="2"/>
        <v>Produção de materiais de</v>
      </c>
      <c r="AF214" s="37"/>
    </row>
    <row r="215" spans="1:32" ht="60" x14ac:dyDescent="0.35">
      <c r="A215" s="60">
        <v>5</v>
      </c>
      <c r="B215" s="61" t="s">
        <v>1314</v>
      </c>
      <c r="C215" s="92" t="s">
        <v>1329</v>
      </c>
      <c r="D215" s="61" t="s">
        <v>1328</v>
      </c>
      <c r="E215" s="147" t="s">
        <v>674</v>
      </c>
      <c r="F215" s="148" t="s">
        <v>1330</v>
      </c>
      <c r="G215" s="149" t="s">
        <v>1333</v>
      </c>
      <c r="H215" s="150" t="s">
        <v>1336</v>
      </c>
      <c r="I215" s="152" t="s">
        <v>51</v>
      </c>
      <c r="J215" s="152" t="s">
        <v>653</v>
      </c>
      <c r="K215" s="151" t="s">
        <v>677</v>
      </c>
      <c r="L215" s="151" t="s">
        <v>1337</v>
      </c>
      <c r="M215" s="151" t="s">
        <v>1515</v>
      </c>
      <c r="N215" s="151"/>
      <c r="O215" s="151"/>
      <c r="P215" s="153">
        <v>1</v>
      </c>
      <c r="Q215" s="153">
        <v>1</v>
      </c>
      <c r="R215" s="153"/>
      <c r="S215" s="153"/>
      <c r="T215" s="153"/>
      <c r="U215" s="153"/>
      <c r="V215" s="153"/>
      <c r="W215" s="153"/>
      <c r="X215" s="153"/>
      <c r="Y215" s="153"/>
      <c r="Z215" s="153"/>
      <c r="AA215" s="153"/>
      <c r="AB215" s="153"/>
      <c r="AC215" s="153"/>
      <c r="AD215" s="153"/>
      <c r="AE215" s="41" t="str">
        <f t="shared" si="2"/>
        <v>Desenvolvimento de plano de</v>
      </c>
      <c r="AF215" s="41"/>
    </row>
    <row r="216" spans="1:32" ht="60" x14ac:dyDescent="0.35">
      <c r="A216" s="60">
        <v>5</v>
      </c>
      <c r="B216" s="61" t="s">
        <v>1314</v>
      </c>
      <c r="C216" s="92" t="s">
        <v>1329</v>
      </c>
      <c r="D216" s="61" t="s">
        <v>1328</v>
      </c>
      <c r="E216" s="147" t="s">
        <v>674</v>
      </c>
      <c r="F216" s="148" t="s">
        <v>1330</v>
      </c>
      <c r="G216" s="149" t="s">
        <v>1334</v>
      </c>
      <c r="H216" s="150" t="s">
        <v>1340</v>
      </c>
      <c r="I216" s="151" t="s">
        <v>51</v>
      </c>
      <c r="J216" s="152" t="s">
        <v>653</v>
      </c>
      <c r="K216" s="151" t="s">
        <v>42</v>
      </c>
      <c r="L216" s="151" t="s">
        <v>1338</v>
      </c>
      <c r="M216" s="151" t="s">
        <v>1515</v>
      </c>
      <c r="N216" s="151"/>
      <c r="O216" s="151"/>
      <c r="P216" s="153">
        <v>20</v>
      </c>
      <c r="Q216" s="153">
        <v>4</v>
      </c>
      <c r="R216" s="153">
        <v>6</v>
      </c>
      <c r="S216" s="153">
        <v>10</v>
      </c>
      <c r="T216" s="153"/>
      <c r="U216" s="153"/>
      <c r="V216" s="153"/>
      <c r="W216" s="153"/>
      <c r="X216" s="153"/>
      <c r="Y216" s="153"/>
      <c r="Z216" s="153"/>
      <c r="AA216" s="153"/>
      <c r="AB216" s="153"/>
      <c r="AC216" s="153"/>
      <c r="AD216" s="153"/>
      <c r="AE216" s="37" t="str">
        <f t="shared" si="2"/>
        <v>Realização de capacitação para</v>
      </c>
      <c r="AF216" s="37"/>
    </row>
    <row r="217" spans="1:32" ht="60" x14ac:dyDescent="0.35">
      <c r="A217" s="60">
        <v>5</v>
      </c>
      <c r="B217" s="61" t="s">
        <v>1314</v>
      </c>
      <c r="C217" s="92" t="s">
        <v>1329</v>
      </c>
      <c r="D217" s="61" t="s">
        <v>1328</v>
      </c>
      <c r="E217" s="147" t="s">
        <v>674</v>
      </c>
      <c r="F217" s="148" t="s">
        <v>1330</v>
      </c>
      <c r="G217" s="149" t="s">
        <v>1335</v>
      </c>
      <c r="H217" s="150" t="s">
        <v>1339</v>
      </c>
      <c r="I217" s="151" t="s">
        <v>51</v>
      </c>
      <c r="J217" s="152" t="s">
        <v>653</v>
      </c>
      <c r="K217" s="151" t="s">
        <v>678</v>
      </c>
      <c r="L217" s="151" t="s">
        <v>679</v>
      </c>
      <c r="M217" s="151" t="s">
        <v>1515</v>
      </c>
      <c r="N217" s="151"/>
      <c r="O217" s="151"/>
      <c r="P217" s="153">
        <v>4</v>
      </c>
      <c r="Q217" s="153">
        <v>1</v>
      </c>
      <c r="R217" s="153">
        <v>1</v>
      </c>
      <c r="S217" s="153">
        <v>2</v>
      </c>
      <c r="T217" s="153"/>
      <c r="U217" s="153"/>
      <c r="V217" s="153"/>
      <c r="W217" s="153"/>
      <c r="X217" s="153"/>
      <c r="Y217" s="153"/>
      <c r="Z217" s="153"/>
      <c r="AA217" s="153"/>
      <c r="AB217" s="153"/>
      <c r="AC217" s="153"/>
      <c r="AD217" s="153"/>
      <c r="AE217" s="41" t="str">
        <f t="shared" si="2"/>
        <v>Realização de capacitação para</v>
      </c>
      <c r="AF217" s="41"/>
    </row>
    <row r="218" spans="1:32" ht="71.25" customHeight="1" x14ac:dyDescent="0.35">
      <c r="A218" s="60">
        <v>5</v>
      </c>
      <c r="B218" s="61" t="s">
        <v>1314</v>
      </c>
      <c r="C218" s="92" t="s">
        <v>1329</v>
      </c>
      <c r="D218" s="61" t="s">
        <v>1328</v>
      </c>
      <c r="E218" s="147" t="s">
        <v>680</v>
      </c>
      <c r="F218" s="148" t="s">
        <v>1341</v>
      </c>
      <c r="G218" s="149" t="s">
        <v>1342</v>
      </c>
      <c r="H218" s="148" t="s">
        <v>681</v>
      </c>
      <c r="I218" s="148" t="s">
        <v>51</v>
      </c>
      <c r="J218" s="154" t="s">
        <v>653</v>
      </c>
      <c r="K218" s="148" t="s">
        <v>654</v>
      </c>
      <c r="L218" s="151" t="s">
        <v>121</v>
      </c>
      <c r="M218" s="151" t="s">
        <v>1515</v>
      </c>
      <c r="N218" s="151"/>
      <c r="O218" s="151"/>
      <c r="P218" s="153">
        <v>1</v>
      </c>
      <c r="Q218" s="153">
        <v>1</v>
      </c>
      <c r="R218" s="153"/>
      <c r="S218" s="153"/>
      <c r="T218" s="153"/>
      <c r="U218" s="153"/>
      <c r="V218" s="153"/>
      <c r="W218" s="153"/>
      <c r="X218" s="153"/>
      <c r="Y218" s="153"/>
      <c r="Z218" s="153"/>
      <c r="AA218" s="153"/>
      <c r="AB218" s="153"/>
      <c r="AC218" s="153"/>
      <c r="AD218" s="153"/>
      <c r="AE218" s="37" t="str">
        <f t="shared" si="2"/>
        <v>Publicação do Guia Oficial</v>
      </c>
      <c r="AF218" s="37"/>
    </row>
    <row r="219" spans="1:32" ht="90" x14ac:dyDescent="0.35">
      <c r="A219" s="60">
        <v>5</v>
      </c>
      <c r="B219" s="61" t="s">
        <v>1314</v>
      </c>
      <c r="C219" s="92" t="s">
        <v>1329</v>
      </c>
      <c r="D219" s="61" t="s">
        <v>1328</v>
      </c>
      <c r="E219" s="147" t="s">
        <v>680</v>
      </c>
      <c r="F219" s="148" t="s">
        <v>1341</v>
      </c>
      <c r="G219" s="149" t="s">
        <v>1342</v>
      </c>
      <c r="H219" s="148" t="s">
        <v>681</v>
      </c>
      <c r="I219" s="148" t="s">
        <v>51</v>
      </c>
      <c r="J219" s="154" t="s">
        <v>653</v>
      </c>
      <c r="K219" s="148" t="s">
        <v>654</v>
      </c>
      <c r="L219" s="151" t="s">
        <v>1344</v>
      </c>
      <c r="M219" s="151" t="s">
        <v>1515</v>
      </c>
      <c r="N219" s="151"/>
      <c r="O219" s="151"/>
      <c r="P219" s="155">
        <v>1</v>
      </c>
      <c r="Q219" s="153"/>
      <c r="R219" s="155">
        <v>1</v>
      </c>
      <c r="S219" s="153"/>
      <c r="T219" s="153"/>
      <c r="U219" s="153"/>
      <c r="V219" s="153"/>
      <c r="W219" s="153"/>
      <c r="X219" s="153"/>
      <c r="Y219" s="153"/>
      <c r="Z219" s="153"/>
      <c r="AA219" s="153"/>
      <c r="AB219" s="153"/>
      <c r="AC219" s="153"/>
      <c r="AD219" s="153"/>
      <c r="AE219" s="41" t="str">
        <f t="shared" si="2"/>
        <v>Publicação do Guia Oficial</v>
      </c>
      <c r="AF219" s="41"/>
    </row>
    <row r="220" spans="1:32" ht="90" x14ac:dyDescent="0.35">
      <c r="A220" s="60">
        <v>5</v>
      </c>
      <c r="B220" s="61" t="s">
        <v>1314</v>
      </c>
      <c r="C220" s="92" t="s">
        <v>1329</v>
      </c>
      <c r="D220" s="61" t="s">
        <v>1328</v>
      </c>
      <c r="E220" s="147" t="s">
        <v>680</v>
      </c>
      <c r="F220" s="148" t="s">
        <v>1341</v>
      </c>
      <c r="G220" s="149" t="s">
        <v>1342</v>
      </c>
      <c r="H220" s="148" t="s">
        <v>681</v>
      </c>
      <c r="I220" s="148" t="s">
        <v>51</v>
      </c>
      <c r="J220" s="154" t="s">
        <v>653</v>
      </c>
      <c r="K220" s="148" t="s">
        <v>654</v>
      </c>
      <c r="L220" s="151" t="s">
        <v>1345</v>
      </c>
      <c r="M220" s="151" t="s">
        <v>1515</v>
      </c>
      <c r="N220" s="151"/>
      <c r="O220" s="151"/>
      <c r="P220" s="155">
        <v>1</v>
      </c>
      <c r="Q220" s="153"/>
      <c r="R220" s="155">
        <v>0.5</v>
      </c>
      <c r="S220" s="155">
        <v>0.5</v>
      </c>
      <c r="T220" s="155"/>
      <c r="U220" s="155"/>
      <c r="V220" s="155"/>
      <c r="W220" s="155"/>
      <c r="X220" s="155"/>
      <c r="Y220" s="155"/>
      <c r="Z220" s="155"/>
      <c r="AA220" s="155"/>
      <c r="AB220" s="155"/>
      <c r="AC220" s="155"/>
      <c r="AD220" s="155"/>
      <c r="AE220" s="37" t="str">
        <f t="shared" si="2"/>
        <v>Publicação do Guia Oficial</v>
      </c>
      <c r="AF220" s="37"/>
    </row>
    <row r="221" spans="1:32" ht="90" x14ac:dyDescent="0.35">
      <c r="A221" s="60">
        <v>5</v>
      </c>
      <c r="B221" s="61" t="s">
        <v>1314</v>
      </c>
      <c r="C221" s="92" t="s">
        <v>1329</v>
      </c>
      <c r="D221" s="61" t="s">
        <v>1328</v>
      </c>
      <c r="E221" s="147" t="s">
        <v>680</v>
      </c>
      <c r="F221" s="148" t="s">
        <v>1341</v>
      </c>
      <c r="G221" s="149" t="s">
        <v>1343</v>
      </c>
      <c r="H221" s="150" t="s">
        <v>682</v>
      </c>
      <c r="I221" s="151" t="s">
        <v>51</v>
      </c>
      <c r="J221" s="152" t="s">
        <v>653</v>
      </c>
      <c r="K221" s="151" t="s">
        <v>654</v>
      </c>
      <c r="L221" s="151" t="s">
        <v>683</v>
      </c>
      <c r="M221" s="151" t="s">
        <v>1515</v>
      </c>
      <c r="N221" s="151"/>
      <c r="O221" s="151"/>
      <c r="P221" s="153">
        <v>1</v>
      </c>
      <c r="Q221" s="153">
        <v>1</v>
      </c>
      <c r="R221" s="153"/>
      <c r="S221" s="153"/>
      <c r="T221" s="153"/>
      <c r="U221" s="153"/>
      <c r="V221" s="153"/>
      <c r="W221" s="153"/>
      <c r="X221" s="153"/>
      <c r="Y221" s="153"/>
      <c r="Z221" s="153"/>
      <c r="AA221" s="153"/>
      <c r="AB221" s="153"/>
      <c r="AC221" s="153"/>
      <c r="AD221" s="153"/>
      <c r="AE221" s="41" t="str">
        <f t="shared" si="2"/>
        <v>Criação de ficha resumo</v>
      </c>
      <c r="AF221" s="41"/>
    </row>
    <row r="222" spans="1:32" ht="60" x14ac:dyDescent="0.35">
      <c r="A222" s="60">
        <v>5</v>
      </c>
      <c r="B222" s="61" t="s">
        <v>1314</v>
      </c>
      <c r="C222" s="92" t="s">
        <v>1329</v>
      </c>
      <c r="D222" s="61" t="s">
        <v>1328</v>
      </c>
      <c r="E222" s="147" t="s">
        <v>684</v>
      </c>
      <c r="F222" s="148" t="s">
        <v>685</v>
      </c>
      <c r="G222" s="149" t="s">
        <v>1346</v>
      </c>
      <c r="H222" s="150" t="s">
        <v>686</v>
      </c>
      <c r="I222" s="151" t="s">
        <v>51</v>
      </c>
      <c r="J222" s="152" t="s">
        <v>653</v>
      </c>
      <c r="K222" s="152" t="s">
        <v>654</v>
      </c>
      <c r="L222" s="152" t="s">
        <v>687</v>
      </c>
      <c r="M222" s="152" t="s">
        <v>1515</v>
      </c>
      <c r="N222" s="152"/>
      <c r="O222" s="152"/>
      <c r="P222" s="157">
        <v>1</v>
      </c>
      <c r="Q222" s="157">
        <v>1</v>
      </c>
      <c r="R222" s="156"/>
      <c r="S222" s="157"/>
      <c r="T222" s="157"/>
      <c r="U222" s="157"/>
      <c r="V222" s="157"/>
      <c r="W222" s="157"/>
      <c r="X222" s="157"/>
      <c r="Y222" s="157"/>
      <c r="Z222" s="157"/>
      <c r="AA222" s="157"/>
      <c r="AB222" s="157"/>
      <c r="AC222" s="157"/>
      <c r="AD222" s="157"/>
      <c r="AE222" s="38" t="str">
        <f t="shared" si="2"/>
        <v>Criação e publicação de</v>
      </c>
      <c r="AF222" s="38"/>
    </row>
    <row r="223" spans="1:32" ht="60" x14ac:dyDescent="0.35">
      <c r="A223" s="60">
        <v>5</v>
      </c>
      <c r="B223" s="61" t="s">
        <v>1314</v>
      </c>
      <c r="C223" s="92" t="s">
        <v>1329</v>
      </c>
      <c r="D223" s="61" t="s">
        <v>1328</v>
      </c>
      <c r="E223" s="147" t="s">
        <v>684</v>
      </c>
      <c r="F223" s="148" t="s">
        <v>685</v>
      </c>
      <c r="G223" s="149" t="s">
        <v>1347</v>
      </c>
      <c r="H223" s="148" t="s">
        <v>688</v>
      </c>
      <c r="I223" s="148" t="s">
        <v>51</v>
      </c>
      <c r="J223" s="148" t="s">
        <v>70</v>
      </c>
      <c r="K223" s="148" t="s">
        <v>689</v>
      </c>
      <c r="L223" s="151" t="s">
        <v>690</v>
      </c>
      <c r="M223" s="151" t="s">
        <v>1515</v>
      </c>
      <c r="N223" s="151"/>
      <c r="O223" s="151"/>
      <c r="P223" s="155">
        <v>1</v>
      </c>
      <c r="Q223" s="153"/>
      <c r="R223" s="155">
        <v>1</v>
      </c>
      <c r="S223" s="155"/>
      <c r="T223" s="155"/>
      <c r="U223" s="155"/>
      <c r="V223" s="155"/>
      <c r="W223" s="155"/>
      <c r="X223" s="155"/>
      <c r="Y223" s="155"/>
      <c r="Z223" s="155"/>
      <c r="AA223" s="155"/>
      <c r="AB223" s="155"/>
      <c r="AC223" s="155"/>
      <c r="AD223" s="155"/>
      <c r="AE223" s="41" t="str">
        <f t="shared" si="2"/>
        <v>Disseminação do guia junto</v>
      </c>
      <c r="AF223" s="41"/>
    </row>
    <row r="224" spans="1:32" ht="60" x14ac:dyDescent="0.35">
      <c r="A224" s="60">
        <v>5</v>
      </c>
      <c r="B224" s="61" t="s">
        <v>1314</v>
      </c>
      <c r="C224" s="92" t="s">
        <v>1329</v>
      </c>
      <c r="D224" s="61" t="s">
        <v>1328</v>
      </c>
      <c r="E224" s="147" t="s">
        <v>684</v>
      </c>
      <c r="F224" s="148" t="s">
        <v>685</v>
      </c>
      <c r="G224" s="149" t="s">
        <v>1347</v>
      </c>
      <c r="H224" s="148" t="s">
        <v>688</v>
      </c>
      <c r="I224" s="148" t="s">
        <v>51</v>
      </c>
      <c r="J224" s="148" t="s">
        <v>70</v>
      </c>
      <c r="K224" s="148" t="s">
        <v>689</v>
      </c>
      <c r="L224" s="151" t="s">
        <v>691</v>
      </c>
      <c r="M224" s="151" t="s">
        <v>1515</v>
      </c>
      <c r="N224" s="151"/>
      <c r="O224" s="151"/>
      <c r="P224" s="155">
        <v>0.9</v>
      </c>
      <c r="Q224" s="153"/>
      <c r="R224" s="155">
        <v>0.5</v>
      </c>
      <c r="S224" s="155">
        <v>0.9</v>
      </c>
      <c r="T224" s="155"/>
      <c r="U224" s="155"/>
      <c r="V224" s="155"/>
      <c r="W224" s="155"/>
      <c r="X224" s="155"/>
      <c r="Y224" s="155"/>
      <c r="Z224" s="155"/>
      <c r="AA224" s="155"/>
      <c r="AB224" s="155"/>
      <c r="AC224" s="155"/>
      <c r="AD224" s="155"/>
      <c r="AE224" s="37" t="str">
        <f t="shared" si="2"/>
        <v>Disseminação do guia junto</v>
      </c>
      <c r="AF224" s="37"/>
    </row>
    <row r="225" spans="1:32" ht="71.25" customHeight="1" x14ac:dyDescent="0.35">
      <c r="A225" s="60">
        <v>5</v>
      </c>
      <c r="B225" s="61" t="s">
        <v>1314</v>
      </c>
      <c r="C225" s="92" t="s">
        <v>1329</v>
      </c>
      <c r="D225" s="61" t="s">
        <v>1328</v>
      </c>
      <c r="E225" s="147" t="s">
        <v>692</v>
      </c>
      <c r="F225" s="148" t="s">
        <v>1348</v>
      </c>
      <c r="G225" s="149" t="s">
        <v>1349</v>
      </c>
      <c r="H225" s="148" t="s">
        <v>693</v>
      </c>
      <c r="I225" s="148" t="s">
        <v>51</v>
      </c>
      <c r="J225" s="154" t="s">
        <v>653</v>
      </c>
      <c r="K225" s="148" t="s">
        <v>678</v>
      </c>
      <c r="L225" s="151" t="s">
        <v>694</v>
      </c>
      <c r="M225" s="151" t="s">
        <v>1515</v>
      </c>
      <c r="N225" s="151"/>
      <c r="O225" s="151"/>
      <c r="P225" s="153">
        <v>1</v>
      </c>
      <c r="Q225" s="153">
        <v>1</v>
      </c>
      <c r="R225" s="153"/>
      <c r="S225" s="153"/>
      <c r="T225" s="153"/>
      <c r="U225" s="153"/>
      <c r="V225" s="153"/>
      <c r="W225" s="153"/>
      <c r="X225" s="153"/>
      <c r="Y225" s="153"/>
      <c r="Z225" s="153"/>
      <c r="AA225" s="153"/>
      <c r="AB225" s="153"/>
      <c r="AC225" s="153"/>
      <c r="AD225" s="153"/>
      <c r="AE225" s="41" t="str">
        <f t="shared" si="2"/>
        <v>Criação e manutenção de</v>
      </c>
      <c r="AF225" s="41"/>
    </row>
    <row r="226" spans="1:32" ht="60" x14ac:dyDescent="0.35">
      <c r="A226" s="60">
        <v>5</v>
      </c>
      <c r="B226" s="61" t="s">
        <v>1314</v>
      </c>
      <c r="C226" s="92" t="s">
        <v>1329</v>
      </c>
      <c r="D226" s="61" t="s">
        <v>1328</v>
      </c>
      <c r="E226" s="147" t="s">
        <v>692</v>
      </c>
      <c r="F226" s="148" t="s">
        <v>1348</v>
      </c>
      <c r="G226" s="149" t="s">
        <v>1349</v>
      </c>
      <c r="H226" s="148" t="s">
        <v>693</v>
      </c>
      <c r="I226" s="148" t="s">
        <v>51</v>
      </c>
      <c r="J226" s="154" t="s">
        <v>653</v>
      </c>
      <c r="K226" s="148" t="s">
        <v>678</v>
      </c>
      <c r="L226" s="151" t="s">
        <v>695</v>
      </c>
      <c r="M226" s="151" t="s">
        <v>1515</v>
      </c>
      <c r="N226" s="151"/>
      <c r="O226" s="151"/>
      <c r="P226" s="153">
        <v>8</v>
      </c>
      <c r="Q226" s="153"/>
      <c r="R226" s="153">
        <v>3</v>
      </c>
      <c r="S226" s="153">
        <v>5</v>
      </c>
      <c r="T226" s="153"/>
      <c r="U226" s="153"/>
      <c r="V226" s="153"/>
      <c r="W226" s="153"/>
      <c r="X226" s="153"/>
      <c r="Y226" s="153"/>
      <c r="Z226" s="153"/>
      <c r="AA226" s="153"/>
      <c r="AB226" s="153"/>
      <c r="AC226" s="153"/>
      <c r="AD226" s="153"/>
      <c r="AE226" s="37" t="str">
        <f t="shared" si="2"/>
        <v>Criação e manutenção de</v>
      </c>
      <c r="AF226" s="37"/>
    </row>
    <row r="227" spans="1:32" ht="60" x14ac:dyDescent="0.35">
      <c r="A227" s="60">
        <v>5</v>
      </c>
      <c r="B227" s="61" t="s">
        <v>1314</v>
      </c>
      <c r="C227" s="92" t="s">
        <v>1329</v>
      </c>
      <c r="D227" s="61" t="s">
        <v>1328</v>
      </c>
      <c r="E227" s="147" t="s">
        <v>692</v>
      </c>
      <c r="F227" s="148" t="s">
        <v>1348</v>
      </c>
      <c r="G227" s="149" t="s">
        <v>1350</v>
      </c>
      <c r="H227" s="148" t="s">
        <v>696</v>
      </c>
      <c r="I227" s="148" t="s">
        <v>51</v>
      </c>
      <c r="J227" s="154" t="s">
        <v>653</v>
      </c>
      <c r="K227" s="148" t="s">
        <v>678</v>
      </c>
      <c r="L227" s="151" t="s">
        <v>697</v>
      </c>
      <c r="M227" s="151" t="s">
        <v>1515</v>
      </c>
      <c r="N227" s="151"/>
      <c r="O227" s="151"/>
      <c r="P227" s="153">
        <v>120</v>
      </c>
      <c r="Q227" s="153">
        <v>24</v>
      </c>
      <c r="R227" s="153">
        <v>36</v>
      </c>
      <c r="S227" s="153">
        <v>60</v>
      </c>
      <c r="T227" s="153"/>
      <c r="U227" s="153"/>
      <c r="V227" s="153"/>
      <c r="W227" s="153"/>
      <c r="X227" s="153"/>
      <c r="Y227" s="153"/>
      <c r="Z227" s="153"/>
      <c r="AA227" s="153"/>
      <c r="AB227" s="153"/>
      <c r="AC227" s="153"/>
      <c r="AD227" s="153"/>
      <c r="AE227" s="41" t="str">
        <f t="shared" si="2"/>
        <v>Produção e envio regular</v>
      </c>
      <c r="AF227" s="41"/>
    </row>
    <row r="228" spans="1:32" ht="60" x14ac:dyDescent="0.35">
      <c r="A228" s="60">
        <v>5</v>
      </c>
      <c r="B228" s="61" t="s">
        <v>1314</v>
      </c>
      <c r="C228" s="92" t="s">
        <v>1329</v>
      </c>
      <c r="D228" s="61" t="s">
        <v>1328</v>
      </c>
      <c r="E228" s="147" t="s">
        <v>692</v>
      </c>
      <c r="F228" s="148" t="s">
        <v>1348</v>
      </c>
      <c r="G228" s="149" t="s">
        <v>1350</v>
      </c>
      <c r="H228" s="148" t="s">
        <v>696</v>
      </c>
      <c r="I228" s="148" t="s">
        <v>51</v>
      </c>
      <c r="J228" s="154" t="s">
        <v>653</v>
      </c>
      <c r="K228" s="148" t="s">
        <v>678</v>
      </c>
      <c r="L228" s="151" t="s">
        <v>698</v>
      </c>
      <c r="M228" s="151" t="s">
        <v>1515</v>
      </c>
      <c r="N228" s="151"/>
      <c r="O228" s="151"/>
      <c r="P228" s="153">
        <v>18</v>
      </c>
      <c r="Q228" s="153">
        <v>2</v>
      </c>
      <c r="R228" s="153">
        <v>6</v>
      </c>
      <c r="S228" s="153">
        <v>10</v>
      </c>
      <c r="T228" s="153"/>
      <c r="U228" s="153"/>
      <c r="V228" s="153"/>
      <c r="W228" s="153"/>
      <c r="X228" s="153"/>
      <c r="Y228" s="153"/>
      <c r="Z228" s="153"/>
      <c r="AA228" s="153"/>
      <c r="AB228" s="153"/>
      <c r="AC228" s="153"/>
      <c r="AD228" s="153"/>
      <c r="AE228" s="37" t="str">
        <f t="shared" si="2"/>
        <v>Produção e envio regular</v>
      </c>
      <c r="AF228" s="37"/>
    </row>
    <row r="229" spans="1:32" ht="60" x14ac:dyDescent="0.35">
      <c r="A229" s="60">
        <v>5</v>
      </c>
      <c r="B229" s="61" t="s">
        <v>1314</v>
      </c>
      <c r="C229" s="92" t="s">
        <v>1329</v>
      </c>
      <c r="D229" s="61" t="s">
        <v>1328</v>
      </c>
      <c r="E229" s="147" t="s">
        <v>692</v>
      </c>
      <c r="F229" s="148" t="s">
        <v>1348</v>
      </c>
      <c r="G229" s="149" t="s">
        <v>1350</v>
      </c>
      <c r="H229" s="148" t="s">
        <v>696</v>
      </c>
      <c r="I229" s="148" t="s">
        <v>51</v>
      </c>
      <c r="J229" s="154" t="s">
        <v>653</v>
      </c>
      <c r="K229" s="148" t="s">
        <v>678</v>
      </c>
      <c r="L229" s="151" t="s">
        <v>699</v>
      </c>
      <c r="M229" s="151" t="s">
        <v>1515</v>
      </c>
      <c r="N229" s="151"/>
      <c r="O229" s="151"/>
      <c r="P229" s="153">
        <v>90</v>
      </c>
      <c r="Q229" s="153">
        <v>10</v>
      </c>
      <c r="R229" s="153">
        <v>30</v>
      </c>
      <c r="S229" s="153">
        <v>50</v>
      </c>
      <c r="T229" s="153"/>
      <c r="U229" s="153"/>
      <c r="V229" s="153"/>
      <c r="W229" s="153"/>
      <c r="X229" s="153"/>
      <c r="Y229" s="153"/>
      <c r="Z229" s="153"/>
      <c r="AA229" s="153"/>
      <c r="AB229" s="153"/>
      <c r="AC229" s="153"/>
      <c r="AD229" s="153"/>
      <c r="AE229" s="41" t="str">
        <f t="shared" si="2"/>
        <v>Produção e envio regular</v>
      </c>
      <c r="AF229" s="41"/>
    </row>
    <row r="230" spans="1:32" ht="60" x14ac:dyDescent="0.35">
      <c r="A230" s="60">
        <v>5</v>
      </c>
      <c r="B230" s="61" t="s">
        <v>1314</v>
      </c>
      <c r="C230" s="92" t="s">
        <v>1329</v>
      </c>
      <c r="D230" s="61" t="s">
        <v>1328</v>
      </c>
      <c r="E230" s="147" t="s">
        <v>692</v>
      </c>
      <c r="F230" s="148" t="s">
        <v>1348</v>
      </c>
      <c r="G230" s="149" t="s">
        <v>1351</v>
      </c>
      <c r="H230" s="148" t="s">
        <v>700</v>
      </c>
      <c r="I230" s="154" t="s">
        <v>51</v>
      </c>
      <c r="J230" s="154" t="s">
        <v>653</v>
      </c>
      <c r="K230" s="148" t="s">
        <v>678</v>
      </c>
      <c r="L230" s="151" t="s">
        <v>701</v>
      </c>
      <c r="M230" s="151" t="s">
        <v>1515</v>
      </c>
      <c r="N230" s="151"/>
      <c r="O230" s="151"/>
      <c r="P230" s="153">
        <v>9</v>
      </c>
      <c r="Q230" s="153">
        <v>1</v>
      </c>
      <c r="R230" s="153">
        <v>3</v>
      </c>
      <c r="S230" s="153">
        <v>5</v>
      </c>
      <c r="T230" s="153"/>
      <c r="U230" s="153"/>
      <c r="V230" s="153"/>
      <c r="W230" s="153"/>
      <c r="X230" s="153"/>
      <c r="Y230" s="153"/>
      <c r="Z230" s="153"/>
      <c r="AA230" s="153"/>
      <c r="AB230" s="153"/>
      <c r="AC230" s="153"/>
      <c r="AD230" s="153"/>
      <c r="AE230" s="37" t="str">
        <f t="shared" si="2"/>
        <v>Realização de capacitações anuais</v>
      </c>
      <c r="AF230" s="37"/>
    </row>
    <row r="231" spans="1:32" ht="60" x14ac:dyDescent="0.35">
      <c r="A231" s="60">
        <v>5</v>
      </c>
      <c r="B231" s="61" t="s">
        <v>1314</v>
      </c>
      <c r="C231" s="92" t="s">
        <v>1329</v>
      </c>
      <c r="D231" s="61" t="s">
        <v>1328</v>
      </c>
      <c r="E231" s="147" t="s">
        <v>692</v>
      </c>
      <c r="F231" s="148" t="s">
        <v>1348</v>
      </c>
      <c r="G231" s="149" t="s">
        <v>1351</v>
      </c>
      <c r="H231" s="148" t="s">
        <v>700</v>
      </c>
      <c r="I231" s="154" t="s">
        <v>51</v>
      </c>
      <c r="J231" s="154" t="s">
        <v>653</v>
      </c>
      <c r="K231" s="148" t="s">
        <v>678</v>
      </c>
      <c r="L231" s="151" t="s">
        <v>702</v>
      </c>
      <c r="M231" s="151" t="s">
        <v>1515</v>
      </c>
      <c r="N231" s="151"/>
      <c r="O231" s="151"/>
      <c r="P231" s="153">
        <v>45</v>
      </c>
      <c r="Q231" s="153">
        <v>15</v>
      </c>
      <c r="R231" s="153">
        <v>15</v>
      </c>
      <c r="S231" s="153">
        <v>15</v>
      </c>
      <c r="T231" s="153"/>
      <c r="U231" s="153"/>
      <c r="V231" s="153"/>
      <c r="W231" s="153"/>
      <c r="X231" s="153"/>
      <c r="Y231" s="153"/>
      <c r="Z231" s="153"/>
      <c r="AA231" s="153"/>
      <c r="AB231" s="153"/>
      <c r="AC231" s="153"/>
      <c r="AD231" s="153"/>
      <c r="AE231" s="41" t="str">
        <f t="shared" si="2"/>
        <v>Realização de capacitações anuais</v>
      </c>
      <c r="AF231" s="41"/>
    </row>
    <row r="232" spans="1:32" ht="60" x14ac:dyDescent="0.35">
      <c r="A232" s="60">
        <v>5</v>
      </c>
      <c r="B232" s="61" t="s">
        <v>1314</v>
      </c>
      <c r="C232" s="92" t="s">
        <v>1329</v>
      </c>
      <c r="D232" s="61" t="s">
        <v>1328</v>
      </c>
      <c r="E232" s="147" t="s">
        <v>692</v>
      </c>
      <c r="F232" s="148" t="s">
        <v>1348</v>
      </c>
      <c r="G232" s="149" t="s">
        <v>1352</v>
      </c>
      <c r="H232" s="150" t="s">
        <v>703</v>
      </c>
      <c r="I232" s="151" t="s">
        <v>51</v>
      </c>
      <c r="J232" s="152" t="s">
        <v>653</v>
      </c>
      <c r="K232" s="151" t="s">
        <v>704</v>
      </c>
      <c r="L232" s="151" t="s">
        <v>705</v>
      </c>
      <c r="M232" s="151" t="s">
        <v>1515</v>
      </c>
      <c r="N232" s="151"/>
      <c r="O232" s="151"/>
      <c r="P232" s="155">
        <v>1</v>
      </c>
      <c r="Q232" s="155">
        <v>1</v>
      </c>
      <c r="R232" s="155">
        <v>1</v>
      </c>
      <c r="S232" s="155">
        <v>1</v>
      </c>
      <c r="T232" s="155"/>
      <c r="U232" s="155"/>
      <c r="V232" s="155"/>
      <c r="W232" s="155"/>
      <c r="X232" s="155"/>
      <c r="Y232" s="155"/>
      <c r="Z232" s="155"/>
      <c r="AA232" s="155"/>
      <c r="AB232" s="155"/>
      <c r="AC232" s="155"/>
      <c r="AD232" s="155"/>
      <c r="AE232" s="37" t="str">
        <f t="shared" si="2"/>
        <v>Produção e distribuição de</v>
      </c>
      <c r="AF232" s="37"/>
    </row>
    <row r="233" spans="1:32" ht="52.8" x14ac:dyDescent="0.35">
      <c r="A233" s="60">
        <v>5</v>
      </c>
      <c r="B233" s="61" t="s">
        <v>1314</v>
      </c>
      <c r="C233" s="92" t="s">
        <v>1332</v>
      </c>
      <c r="D233" s="61" t="s">
        <v>1353</v>
      </c>
      <c r="E233" s="147" t="s">
        <v>706</v>
      </c>
      <c r="F233" s="148" t="s">
        <v>1356</v>
      </c>
      <c r="G233" s="149" t="s">
        <v>1354</v>
      </c>
      <c r="H233" s="148" t="s">
        <v>1336</v>
      </c>
      <c r="I233" s="154" t="s">
        <v>51</v>
      </c>
      <c r="J233" s="154" t="s">
        <v>653</v>
      </c>
      <c r="K233" s="154" t="s">
        <v>707</v>
      </c>
      <c r="L233" s="151" t="s">
        <v>1357</v>
      </c>
      <c r="M233" s="69" t="s">
        <v>1516</v>
      </c>
      <c r="N233" s="151"/>
      <c r="O233" s="151"/>
      <c r="P233" s="157">
        <v>1</v>
      </c>
      <c r="Q233" s="157">
        <v>1</v>
      </c>
      <c r="R233" s="157"/>
      <c r="S233" s="157"/>
      <c r="T233" s="157"/>
      <c r="U233" s="157"/>
      <c r="V233" s="157"/>
      <c r="W233" s="157"/>
      <c r="X233" s="157"/>
      <c r="Y233" s="157"/>
      <c r="Z233" s="157"/>
      <c r="AA233" s="157"/>
      <c r="AB233" s="157"/>
      <c r="AC233" s="157"/>
      <c r="AD233" s="157"/>
      <c r="AE233" s="41" t="str">
        <f t="shared" si="2"/>
        <v>Desenvolvimento de plano de</v>
      </c>
      <c r="AF233" s="41"/>
    </row>
    <row r="234" spans="1:32" ht="52.8" x14ac:dyDescent="0.35">
      <c r="A234" s="60">
        <v>5</v>
      </c>
      <c r="B234" s="61" t="s">
        <v>1314</v>
      </c>
      <c r="C234" s="92" t="s">
        <v>1332</v>
      </c>
      <c r="D234" s="61" t="s">
        <v>1353</v>
      </c>
      <c r="E234" s="147" t="s">
        <v>706</v>
      </c>
      <c r="F234" s="148" t="s">
        <v>1356</v>
      </c>
      <c r="G234" s="149" t="s">
        <v>1354</v>
      </c>
      <c r="H234" s="148" t="s">
        <v>1336</v>
      </c>
      <c r="I234" s="154" t="s">
        <v>51</v>
      </c>
      <c r="J234" s="154" t="s">
        <v>653</v>
      </c>
      <c r="K234" s="154" t="s">
        <v>707</v>
      </c>
      <c r="L234" s="151" t="s">
        <v>996</v>
      </c>
      <c r="M234" s="69" t="s">
        <v>1516</v>
      </c>
      <c r="N234" s="151"/>
      <c r="O234" s="151"/>
      <c r="P234" s="157">
        <v>8</v>
      </c>
      <c r="Q234" s="157"/>
      <c r="R234" s="157">
        <v>3</v>
      </c>
      <c r="S234" s="157">
        <v>5</v>
      </c>
      <c r="T234" s="157"/>
      <c r="U234" s="157"/>
      <c r="V234" s="157"/>
      <c r="W234" s="157"/>
      <c r="X234" s="157"/>
      <c r="Y234" s="157"/>
      <c r="Z234" s="157"/>
      <c r="AA234" s="157"/>
      <c r="AB234" s="157"/>
      <c r="AC234" s="157"/>
      <c r="AD234" s="157"/>
      <c r="AE234" s="37" t="str">
        <f t="shared" si="2"/>
        <v>Desenvolvimento de plano de</v>
      </c>
      <c r="AF234" s="37"/>
    </row>
    <row r="235" spans="1:32" ht="52.8" x14ac:dyDescent="0.35">
      <c r="A235" s="60">
        <v>5</v>
      </c>
      <c r="B235" s="61" t="s">
        <v>1314</v>
      </c>
      <c r="C235" s="92" t="s">
        <v>1332</v>
      </c>
      <c r="D235" s="61" t="s">
        <v>1353</v>
      </c>
      <c r="E235" s="147" t="s">
        <v>706</v>
      </c>
      <c r="F235" s="148" t="s">
        <v>1356</v>
      </c>
      <c r="G235" s="149" t="s">
        <v>1355</v>
      </c>
      <c r="H235" s="150" t="s">
        <v>675</v>
      </c>
      <c r="I235" s="151" t="s">
        <v>51</v>
      </c>
      <c r="J235" s="152" t="s">
        <v>653</v>
      </c>
      <c r="K235" s="151" t="s">
        <v>654</v>
      </c>
      <c r="L235" s="151" t="s">
        <v>1358</v>
      </c>
      <c r="M235" s="69" t="s">
        <v>1516</v>
      </c>
      <c r="N235" s="151"/>
      <c r="O235" s="151"/>
      <c r="P235" s="155">
        <v>1</v>
      </c>
      <c r="Q235" s="153"/>
      <c r="R235" s="155">
        <v>1</v>
      </c>
      <c r="S235" s="155">
        <v>1</v>
      </c>
      <c r="T235" s="155"/>
      <c r="U235" s="155"/>
      <c r="V235" s="155"/>
      <c r="W235" s="155"/>
      <c r="X235" s="155"/>
      <c r="Y235" s="155"/>
      <c r="Z235" s="155"/>
      <c r="AA235" s="155"/>
      <c r="AB235" s="155"/>
      <c r="AC235" s="155"/>
      <c r="AD235" s="155"/>
      <c r="AE235" s="41" t="str">
        <f t="shared" si="2"/>
        <v>Produção de materiais de</v>
      </c>
      <c r="AF235" s="41"/>
    </row>
    <row r="236" spans="1:32" ht="57" customHeight="1" x14ac:dyDescent="0.35">
      <c r="A236" s="60">
        <v>5</v>
      </c>
      <c r="B236" s="61" t="s">
        <v>1314</v>
      </c>
      <c r="C236" s="92" t="s">
        <v>1332</v>
      </c>
      <c r="D236" s="61" t="s">
        <v>1353</v>
      </c>
      <c r="E236" s="147" t="s">
        <v>708</v>
      </c>
      <c r="F236" s="148" t="s">
        <v>709</v>
      </c>
      <c r="G236" s="149" t="s">
        <v>1359</v>
      </c>
      <c r="H236" s="150" t="s">
        <v>710</v>
      </c>
      <c r="I236" s="151" t="s">
        <v>51</v>
      </c>
      <c r="J236" s="151" t="s">
        <v>70</v>
      </c>
      <c r="K236" s="151" t="s">
        <v>711</v>
      </c>
      <c r="L236" s="151" t="s">
        <v>712</v>
      </c>
      <c r="M236" s="69" t="s">
        <v>1516</v>
      </c>
      <c r="N236" s="151"/>
      <c r="O236" s="151"/>
      <c r="P236" s="153">
        <v>10</v>
      </c>
      <c r="Q236" s="153">
        <v>3</v>
      </c>
      <c r="R236" s="153">
        <v>3</v>
      </c>
      <c r="S236" s="153">
        <v>4</v>
      </c>
      <c r="T236" s="153"/>
      <c r="U236" s="153"/>
      <c r="V236" s="153"/>
      <c r="W236" s="153"/>
      <c r="X236" s="153"/>
      <c r="Y236" s="153"/>
      <c r="Z236" s="153"/>
      <c r="AA236" s="153"/>
      <c r="AB236" s="153"/>
      <c r="AC236" s="153"/>
      <c r="AD236" s="153"/>
      <c r="AE236" s="37" t="str">
        <f t="shared" si="2"/>
        <v>Formalização de acordos de</v>
      </c>
      <c r="AF236" s="37"/>
    </row>
    <row r="237" spans="1:32" ht="75" x14ac:dyDescent="0.35">
      <c r="A237" s="60">
        <v>5</v>
      </c>
      <c r="B237" s="61" t="s">
        <v>1314</v>
      </c>
      <c r="C237" s="92" t="s">
        <v>1332</v>
      </c>
      <c r="D237" s="61" t="s">
        <v>1353</v>
      </c>
      <c r="E237" s="147" t="s">
        <v>708</v>
      </c>
      <c r="F237" s="148" t="s">
        <v>709</v>
      </c>
      <c r="G237" s="149" t="s">
        <v>1360</v>
      </c>
      <c r="H237" s="148" t="s">
        <v>713</v>
      </c>
      <c r="I237" s="154" t="s">
        <v>51</v>
      </c>
      <c r="J237" s="158" t="s">
        <v>653</v>
      </c>
      <c r="K237" s="148" t="s">
        <v>714</v>
      </c>
      <c r="L237" s="151" t="s">
        <v>715</v>
      </c>
      <c r="M237" s="69" t="s">
        <v>1516</v>
      </c>
      <c r="N237" s="151"/>
      <c r="O237" s="151"/>
      <c r="P237" s="153">
        <v>1</v>
      </c>
      <c r="Q237" s="153">
        <v>1</v>
      </c>
      <c r="R237" s="153"/>
      <c r="S237" s="153"/>
      <c r="T237" s="153"/>
      <c r="U237" s="153"/>
      <c r="V237" s="153"/>
      <c r="W237" s="153"/>
      <c r="X237" s="153"/>
      <c r="Y237" s="153"/>
      <c r="Z237" s="153"/>
      <c r="AA237" s="153"/>
      <c r="AB237" s="153"/>
      <c r="AC237" s="153"/>
      <c r="AD237" s="153"/>
      <c r="AE237" s="41" t="str">
        <f t="shared" si="2"/>
        <v>Mapeamento de novos parceiros</v>
      </c>
      <c r="AF237" s="41"/>
    </row>
    <row r="238" spans="1:32" ht="75" x14ac:dyDescent="0.35">
      <c r="A238" s="60">
        <v>5</v>
      </c>
      <c r="B238" s="61" t="s">
        <v>1314</v>
      </c>
      <c r="C238" s="92" t="s">
        <v>1332</v>
      </c>
      <c r="D238" s="61" t="s">
        <v>1353</v>
      </c>
      <c r="E238" s="147" t="s">
        <v>708</v>
      </c>
      <c r="F238" s="148" t="s">
        <v>709</v>
      </c>
      <c r="G238" s="149" t="s">
        <v>1360</v>
      </c>
      <c r="H238" s="148" t="s">
        <v>713</v>
      </c>
      <c r="I238" s="154" t="s">
        <v>51</v>
      </c>
      <c r="J238" s="158" t="s">
        <v>653</v>
      </c>
      <c r="K238" s="148" t="s">
        <v>714</v>
      </c>
      <c r="L238" s="151" t="s">
        <v>716</v>
      </c>
      <c r="M238" s="69" t="s">
        <v>1516</v>
      </c>
      <c r="N238" s="151"/>
      <c r="O238" s="151"/>
      <c r="P238" s="153">
        <v>8</v>
      </c>
      <c r="Q238" s="153"/>
      <c r="R238" s="153">
        <v>3</v>
      </c>
      <c r="S238" s="153">
        <v>5</v>
      </c>
      <c r="T238" s="153"/>
      <c r="U238" s="153"/>
      <c r="V238" s="153"/>
      <c r="W238" s="153"/>
      <c r="X238" s="153"/>
      <c r="Y238" s="153"/>
      <c r="Z238" s="153"/>
      <c r="AA238" s="153"/>
      <c r="AB238" s="153"/>
      <c r="AC238" s="153"/>
      <c r="AD238" s="153"/>
      <c r="AE238" s="37" t="str">
        <f t="shared" si="2"/>
        <v>Mapeamento de novos parceiros</v>
      </c>
      <c r="AF238" s="37"/>
    </row>
    <row r="239" spans="1:32" ht="90" x14ac:dyDescent="0.35">
      <c r="A239" s="60">
        <v>5</v>
      </c>
      <c r="B239" s="61" t="s">
        <v>1314</v>
      </c>
      <c r="C239" s="92" t="s">
        <v>1332</v>
      </c>
      <c r="D239" s="61" t="s">
        <v>1353</v>
      </c>
      <c r="E239" s="147" t="s">
        <v>717</v>
      </c>
      <c r="F239" s="148" t="s">
        <v>718</v>
      </c>
      <c r="G239" s="149" t="s">
        <v>1361</v>
      </c>
      <c r="H239" s="150" t="s">
        <v>719</v>
      </c>
      <c r="I239" s="151" t="s">
        <v>51</v>
      </c>
      <c r="J239" s="152" t="s">
        <v>653</v>
      </c>
      <c r="K239" s="151" t="s">
        <v>677</v>
      </c>
      <c r="L239" s="151" t="s">
        <v>720</v>
      </c>
      <c r="M239" s="151" t="s">
        <v>1515</v>
      </c>
      <c r="N239" s="151"/>
      <c r="O239" s="151"/>
      <c r="P239" s="157">
        <v>10</v>
      </c>
      <c r="Q239" s="157">
        <v>2</v>
      </c>
      <c r="R239" s="157">
        <v>3</v>
      </c>
      <c r="S239" s="157">
        <v>5</v>
      </c>
      <c r="T239" s="157"/>
      <c r="U239" s="157"/>
      <c r="V239" s="157"/>
      <c r="W239" s="157"/>
      <c r="X239" s="157"/>
      <c r="Y239" s="157"/>
      <c r="Z239" s="157"/>
      <c r="AA239" s="157"/>
      <c r="AB239" s="157"/>
      <c r="AC239" s="157"/>
      <c r="AD239" s="157"/>
      <c r="AE239" s="41" t="str">
        <f t="shared" si="2"/>
        <v>Definição de calendário editorial</v>
      </c>
      <c r="AF239" s="41"/>
    </row>
    <row r="240" spans="1:32" ht="90" x14ac:dyDescent="0.35">
      <c r="A240" s="60">
        <v>5</v>
      </c>
      <c r="B240" s="61" t="s">
        <v>1314</v>
      </c>
      <c r="C240" s="92" t="s">
        <v>1332</v>
      </c>
      <c r="D240" s="61" t="s">
        <v>1353</v>
      </c>
      <c r="E240" s="147" t="s">
        <v>717</v>
      </c>
      <c r="F240" s="148" t="s">
        <v>718</v>
      </c>
      <c r="G240" s="149" t="s">
        <v>1362</v>
      </c>
      <c r="H240" s="148" t="s">
        <v>721</v>
      </c>
      <c r="I240" s="148" t="s">
        <v>51</v>
      </c>
      <c r="J240" s="154" t="s">
        <v>653</v>
      </c>
      <c r="K240" s="148" t="s">
        <v>722</v>
      </c>
      <c r="L240" s="151" t="s">
        <v>723</v>
      </c>
      <c r="M240" s="151" t="s">
        <v>1515</v>
      </c>
      <c r="N240" s="151"/>
      <c r="O240" s="151"/>
      <c r="P240" s="155">
        <v>1</v>
      </c>
      <c r="Q240" s="155">
        <v>1</v>
      </c>
      <c r="R240" s="153"/>
      <c r="S240" s="153"/>
      <c r="T240" s="153"/>
      <c r="U240" s="153"/>
      <c r="V240" s="153"/>
      <c r="W240" s="153"/>
      <c r="X240" s="153"/>
      <c r="Y240" s="153"/>
      <c r="Z240" s="153"/>
      <c r="AA240" s="153"/>
      <c r="AB240" s="153"/>
      <c r="AC240" s="153"/>
      <c r="AD240" s="153"/>
      <c r="AE240" s="37" t="str">
        <f t="shared" si="2"/>
        <v>Disseminação do calendário junto</v>
      </c>
      <c r="AF240" s="37"/>
    </row>
    <row r="241" spans="1:32" ht="90.6" thickBot="1" x14ac:dyDescent="0.4">
      <c r="A241" s="60">
        <v>5</v>
      </c>
      <c r="B241" s="61" t="s">
        <v>1314</v>
      </c>
      <c r="C241" s="92" t="s">
        <v>1332</v>
      </c>
      <c r="D241" s="61" t="s">
        <v>1353</v>
      </c>
      <c r="E241" s="147" t="s">
        <v>717</v>
      </c>
      <c r="F241" s="148" t="s">
        <v>718</v>
      </c>
      <c r="G241" s="149" t="s">
        <v>1362</v>
      </c>
      <c r="H241" s="148" t="s">
        <v>721</v>
      </c>
      <c r="I241" s="148" t="s">
        <v>51</v>
      </c>
      <c r="J241" s="154" t="s">
        <v>653</v>
      </c>
      <c r="K241" s="148" t="s">
        <v>722</v>
      </c>
      <c r="L241" s="159" t="s">
        <v>724</v>
      </c>
      <c r="M241" s="159" t="s">
        <v>1515</v>
      </c>
      <c r="N241" s="159"/>
      <c r="O241" s="159"/>
      <c r="P241" s="160">
        <v>1</v>
      </c>
      <c r="Q241" s="160">
        <v>0.5</v>
      </c>
      <c r="R241" s="160">
        <v>0.75</v>
      </c>
      <c r="S241" s="160">
        <v>1</v>
      </c>
      <c r="T241" s="160"/>
      <c r="U241" s="160"/>
      <c r="V241" s="160"/>
      <c r="W241" s="160"/>
      <c r="X241" s="160"/>
      <c r="Y241" s="160"/>
      <c r="Z241" s="160"/>
      <c r="AA241" s="160"/>
      <c r="AB241" s="160"/>
      <c r="AC241" s="160"/>
      <c r="AD241" s="160"/>
      <c r="AE241" s="40" t="str">
        <f t="shared" si="2"/>
        <v>Disseminação do calendário junto</v>
      </c>
      <c r="AF241" s="40"/>
    </row>
    <row r="242" spans="1:32" ht="66.599999999999994" thickBot="1" x14ac:dyDescent="0.4">
      <c r="A242" s="60">
        <v>6</v>
      </c>
      <c r="B242" s="61" t="s">
        <v>1363</v>
      </c>
      <c r="C242" s="92" t="s">
        <v>1364</v>
      </c>
      <c r="D242" s="61" t="s">
        <v>1365</v>
      </c>
      <c r="E242" s="161" t="s">
        <v>725</v>
      </c>
      <c r="F242" s="162" t="s">
        <v>726</v>
      </c>
      <c r="G242" s="163" t="s">
        <v>1366</v>
      </c>
      <c r="H242" s="164" t="s">
        <v>727</v>
      </c>
      <c r="I242" s="164" t="s">
        <v>51</v>
      </c>
      <c r="J242" s="164" t="s">
        <v>646</v>
      </c>
      <c r="K242" s="164" t="s">
        <v>728</v>
      </c>
      <c r="L242" s="164" t="s">
        <v>729</v>
      </c>
      <c r="M242" s="164" t="s">
        <v>1515</v>
      </c>
      <c r="N242" s="164"/>
      <c r="O242" s="164"/>
      <c r="P242" s="165">
        <v>1</v>
      </c>
      <c r="Q242" s="165">
        <v>1</v>
      </c>
      <c r="R242" s="166"/>
      <c r="S242" s="167"/>
      <c r="T242" s="200"/>
      <c r="U242" s="200"/>
      <c r="V242" s="200"/>
      <c r="W242" s="200"/>
      <c r="X242" s="200"/>
      <c r="Y242" s="200"/>
      <c r="Z242" s="200"/>
      <c r="AA242" s="200"/>
      <c r="AB242" s="200"/>
      <c r="AC242" s="200"/>
      <c r="AD242" s="200"/>
      <c r="AE242" s="43" t="str">
        <f t="shared" si="2"/>
        <v>Mapeamento e revisão de</v>
      </c>
      <c r="AF242" s="43"/>
    </row>
    <row r="243" spans="1:32" ht="66.599999999999994" thickBot="1" x14ac:dyDescent="0.4">
      <c r="A243" s="60">
        <v>6</v>
      </c>
      <c r="B243" s="61" t="s">
        <v>1363</v>
      </c>
      <c r="C243" s="92" t="s">
        <v>1364</v>
      </c>
      <c r="D243" s="61" t="s">
        <v>1365</v>
      </c>
      <c r="E243" s="161" t="s">
        <v>725</v>
      </c>
      <c r="F243" s="162" t="s">
        <v>726</v>
      </c>
      <c r="G243" s="163" t="s">
        <v>1367</v>
      </c>
      <c r="H243" s="150" t="s">
        <v>730</v>
      </c>
      <c r="I243" s="150" t="s">
        <v>51</v>
      </c>
      <c r="J243" s="150" t="s">
        <v>646</v>
      </c>
      <c r="K243" s="150" t="s">
        <v>731</v>
      </c>
      <c r="L243" s="150" t="s">
        <v>732</v>
      </c>
      <c r="M243" s="150" t="s">
        <v>1515</v>
      </c>
      <c r="N243" s="150"/>
      <c r="O243" s="150"/>
      <c r="P243" s="153">
        <v>1</v>
      </c>
      <c r="Q243" s="153">
        <v>1</v>
      </c>
      <c r="R243" s="153"/>
      <c r="S243" s="168"/>
      <c r="T243" s="201"/>
      <c r="U243" s="201"/>
      <c r="V243" s="201"/>
      <c r="W243" s="201"/>
      <c r="X243" s="201"/>
      <c r="Y243" s="201"/>
      <c r="Z243" s="201"/>
      <c r="AA243" s="201"/>
      <c r="AB243" s="201"/>
      <c r="AC243" s="201"/>
      <c r="AD243" s="201"/>
      <c r="AE243" s="42" t="str">
        <f t="shared" si="2"/>
        <v>Revisão de modelo de</v>
      </c>
      <c r="AF243" s="42"/>
    </row>
    <row r="244" spans="1:32" ht="66" x14ac:dyDescent="0.35">
      <c r="A244" s="60">
        <v>6</v>
      </c>
      <c r="B244" s="61" t="s">
        <v>1363</v>
      </c>
      <c r="C244" s="92" t="s">
        <v>1364</v>
      </c>
      <c r="D244" s="61" t="s">
        <v>1365</v>
      </c>
      <c r="E244" s="161" t="s">
        <v>725</v>
      </c>
      <c r="F244" s="162" t="s">
        <v>726</v>
      </c>
      <c r="G244" s="163" t="s">
        <v>1368</v>
      </c>
      <c r="H244" s="150" t="s">
        <v>733</v>
      </c>
      <c r="I244" s="150" t="s">
        <v>51</v>
      </c>
      <c r="J244" s="150" t="s">
        <v>47</v>
      </c>
      <c r="K244" s="150" t="s">
        <v>734</v>
      </c>
      <c r="L244" s="150" t="s">
        <v>735</v>
      </c>
      <c r="M244" s="150" t="s">
        <v>1515</v>
      </c>
      <c r="N244" s="150"/>
      <c r="O244" s="150"/>
      <c r="P244" s="155">
        <v>1</v>
      </c>
      <c r="Q244" s="155">
        <v>1</v>
      </c>
      <c r="R244" s="153"/>
      <c r="S244" s="168"/>
      <c r="T244" s="201"/>
      <c r="U244" s="201"/>
      <c r="V244" s="201"/>
      <c r="W244" s="201"/>
      <c r="X244" s="201"/>
      <c r="Y244" s="201"/>
      <c r="Z244" s="201"/>
      <c r="AA244" s="201"/>
      <c r="AB244" s="201"/>
      <c r="AC244" s="201"/>
      <c r="AD244" s="201"/>
      <c r="AE244" s="36" t="str">
        <f t="shared" si="2"/>
        <v>Assinatura e publicação de</v>
      </c>
      <c r="AF244" s="36"/>
    </row>
    <row r="245" spans="1:32" ht="75" x14ac:dyDescent="0.35">
      <c r="A245" s="60">
        <v>6</v>
      </c>
      <c r="B245" s="61" t="s">
        <v>1363</v>
      </c>
      <c r="C245" s="92" t="s">
        <v>1364</v>
      </c>
      <c r="D245" s="61" t="s">
        <v>1365</v>
      </c>
      <c r="E245" s="147" t="s">
        <v>736</v>
      </c>
      <c r="F245" s="148" t="s">
        <v>737</v>
      </c>
      <c r="G245" s="149" t="s">
        <v>1369</v>
      </c>
      <c r="H245" s="148" t="s">
        <v>738</v>
      </c>
      <c r="I245" s="148" t="s">
        <v>51</v>
      </c>
      <c r="J245" s="148" t="s">
        <v>70</v>
      </c>
      <c r="K245" s="148" t="s">
        <v>739</v>
      </c>
      <c r="L245" s="150" t="s">
        <v>1370</v>
      </c>
      <c r="M245" s="150" t="s">
        <v>1515</v>
      </c>
      <c r="N245" s="150"/>
      <c r="O245" s="150"/>
      <c r="P245" s="155">
        <v>1</v>
      </c>
      <c r="Q245" s="155">
        <v>1</v>
      </c>
      <c r="R245" s="153"/>
      <c r="S245" s="168"/>
      <c r="T245" s="201"/>
      <c r="U245" s="201"/>
      <c r="V245" s="201"/>
      <c r="W245" s="201"/>
      <c r="X245" s="201"/>
      <c r="Y245" s="201"/>
      <c r="Z245" s="201"/>
      <c r="AA245" s="201"/>
      <c r="AB245" s="201"/>
      <c r="AC245" s="201"/>
      <c r="AD245" s="201"/>
      <c r="AE245" s="42" t="str">
        <f t="shared" si="2"/>
        <v>Realização de oficinas técnicas</v>
      </c>
      <c r="AF245" s="42"/>
    </row>
    <row r="246" spans="1:32" ht="75" x14ac:dyDescent="0.35">
      <c r="A246" s="60">
        <v>6</v>
      </c>
      <c r="B246" s="61" t="s">
        <v>1363</v>
      </c>
      <c r="C246" s="92" t="s">
        <v>1364</v>
      </c>
      <c r="D246" s="61" t="s">
        <v>1365</v>
      </c>
      <c r="E246" s="147" t="s">
        <v>736</v>
      </c>
      <c r="F246" s="148" t="s">
        <v>737</v>
      </c>
      <c r="G246" s="149" t="s">
        <v>1369</v>
      </c>
      <c r="H246" s="148" t="s">
        <v>738</v>
      </c>
      <c r="I246" s="148" t="s">
        <v>51</v>
      </c>
      <c r="J246" s="148" t="s">
        <v>70</v>
      </c>
      <c r="K246" s="148" t="s">
        <v>739</v>
      </c>
      <c r="L246" s="150" t="s">
        <v>490</v>
      </c>
      <c r="M246" s="150" t="s">
        <v>1515</v>
      </c>
      <c r="N246" s="150"/>
      <c r="O246" s="150"/>
      <c r="P246" s="153">
        <v>2</v>
      </c>
      <c r="Q246" s="153">
        <v>2</v>
      </c>
      <c r="R246" s="153"/>
      <c r="S246" s="168"/>
      <c r="T246" s="201"/>
      <c r="U246" s="201"/>
      <c r="V246" s="201"/>
      <c r="W246" s="201"/>
      <c r="X246" s="201"/>
      <c r="Y246" s="201"/>
      <c r="Z246" s="201"/>
      <c r="AA246" s="201"/>
      <c r="AB246" s="201"/>
      <c r="AC246" s="201"/>
      <c r="AD246" s="201"/>
      <c r="AE246" s="36" t="str">
        <f t="shared" si="2"/>
        <v>Realização de oficinas técnicas</v>
      </c>
      <c r="AF246" s="36"/>
    </row>
    <row r="247" spans="1:32" ht="71.25" customHeight="1" x14ac:dyDescent="0.35">
      <c r="A247" s="60">
        <v>6</v>
      </c>
      <c r="B247" s="61" t="s">
        <v>1363</v>
      </c>
      <c r="C247" s="92" t="s">
        <v>1364</v>
      </c>
      <c r="D247" s="61" t="s">
        <v>1365</v>
      </c>
      <c r="E247" s="147" t="s">
        <v>736</v>
      </c>
      <c r="F247" s="148" t="s">
        <v>737</v>
      </c>
      <c r="G247" s="149" t="s">
        <v>1371</v>
      </c>
      <c r="H247" s="148" t="s">
        <v>740</v>
      </c>
      <c r="I247" s="148" t="s">
        <v>51</v>
      </c>
      <c r="J247" s="169" t="s">
        <v>70</v>
      </c>
      <c r="K247" s="148" t="s">
        <v>741</v>
      </c>
      <c r="L247" s="150" t="s">
        <v>742</v>
      </c>
      <c r="M247" s="150" t="s">
        <v>1515</v>
      </c>
      <c r="N247" s="150"/>
      <c r="O247" s="150"/>
      <c r="P247" s="153">
        <v>1</v>
      </c>
      <c r="Q247" s="153"/>
      <c r="R247" s="153">
        <v>1</v>
      </c>
      <c r="S247" s="168"/>
      <c r="T247" s="201"/>
      <c r="U247" s="201"/>
      <c r="V247" s="201"/>
      <c r="W247" s="201"/>
      <c r="X247" s="201"/>
      <c r="Y247" s="201"/>
      <c r="Z247" s="201"/>
      <c r="AA247" s="201"/>
      <c r="AB247" s="201"/>
      <c r="AC247" s="201"/>
      <c r="AD247" s="201"/>
      <c r="AE247" s="42" t="str">
        <f t="shared" si="2"/>
        <v>Estabelecimento de planos estratégicos</v>
      </c>
      <c r="AF247" s="42"/>
    </row>
    <row r="248" spans="1:32" ht="66" x14ac:dyDescent="0.35">
      <c r="A248" s="60">
        <v>6</v>
      </c>
      <c r="B248" s="61" t="s">
        <v>1363</v>
      </c>
      <c r="C248" s="92" t="s">
        <v>1364</v>
      </c>
      <c r="D248" s="61" t="s">
        <v>1365</v>
      </c>
      <c r="E248" s="147" t="s">
        <v>736</v>
      </c>
      <c r="F248" s="148" t="s">
        <v>737</v>
      </c>
      <c r="G248" s="149" t="s">
        <v>1371</v>
      </c>
      <c r="H248" s="148" t="s">
        <v>740</v>
      </c>
      <c r="I248" s="148" t="s">
        <v>51</v>
      </c>
      <c r="J248" s="169" t="s">
        <v>70</v>
      </c>
      <c r="K248" s="148" t="s">
        <v>741</v>
      </c>
      <c r="L248" s="150" t="s">
        <v>743</v>
      </c>
      <c r="M248" s="150" t="s">
        <v>1515</v>
      </c>
      <c r="N248" s="150"/>
      <c r="O248" s="150"/>
      <c r="P248" s="153">
        <v>2</v>
      </c>
      <c r="Q248" s="153"/>
      <c r="R248" s="153"/>
      <c r="S248" s="168">
        <v>2</v>
      </c>
      <c r="T248" s="201"/>
      <c r="U248" s="201"/>
      <c r="V248" s="201"/>
      <c r="W248" s="201"/>
      <c r="X248" s="201"/>
      <c r="Y248" s="201"/>
      <c r="Z248" s="201"/>
      <c r="AA248" s="201"/>
      <c r="AB248" s="201"/>
      <c r="AC248" s="201"/>
      <c r="AD248" s="201"/>
      <c r="AE248" s="36" t="str">
        <f t="shared" si="2"/>
        <v>Estabelecimento de planos estratégicos</v>
      </c>
      <c r="AF248" s="36"/>
    </row>
    <row r="249" spans="1:32" ht="66" x14ac:dyDescent="0.35">
      <c r="A249" s="60">
        <v>6</v>
      </c>
      <c r="B249" s="61" t="s">
        <v>1363</v>
      </c>
      <c r="C249" s="92" t="s">
        <v>1364</v>
      </c>
      <c r="D249" s="61" t="s">
        <v>1365</v>
      </c>
      <c r="E249" s="147" t="s">
        <v>736</v>
      </c>
      <c r="F249" s="148" t="s">
        <v>737</v>
      </c>
      <c r="G249" s="149" t="s">
        <v>1371</v>
      </c>
      <c r="H249" s="148" t="s">
        <v>740</v>
      </c>
      <c r="I249" s="148" t="s">
        <v>51</v>
      </c>
      <c r="J249" s="169" t="s">
        <v>70</v>
      </c>
      <c r="K249" s="148" t="s">
        <v>741</v>
      </c>
      <c r="L249" s="150" t="s">
        <v>744</v>
      </c>
      <c r="M249" s="150" t="s">
        <v>1515</v>
      </c>
      <c r="N249" s="150"/>
      <c r="O249" s="150"/>
      <c r="P249" s="153" t="s">
        <v>745</v>
      </c>
      <c r="Q249" s="153"/>
      <c r="R249" s="155">
        <v>1</v>
      </c>
      <c r="S249" s="168"/>
      <c r="T249" s="201"/>
      <c r="U249" s="201"/>
      <c r="V249" s="201"/>
      <c r="W249" s="201"/>
      <c r="X249" s="201"/>
      <c r="Y249" s="201"/>
      <c r="Z249" s="201"/>
      <c r="AA249" s="201"/>
      <c r="AB249" s="201"/>
      <c r="AC249" s="201"/>
      <c r="AD249" s="201"/>
      <c r="AE249" s="42" t="str">
        <f t="shared" si="2"/>
        <v>Estabelecimento de planos estratégicos</v>
      </c>
      <c r="AF249" s="42"/>
    </row>
    <row r="250" spans="1:32" ht="66" x14ac:dyDescent="0.35">
      <c r="A250" s="60">
        <v>6</v>
      </c>
      <c r="B250" s="61" t="s">
        <v>1363</v>
      </c>
      <c r="C250" s="92" t="s">
        <v>1364</v>
      </c>
      <c r="D250" s="61" t="s">
        <v>1365</v>
      </c>
      <c r="E250" s="147" t="s">
        <v>736</v>
      </c>
      <c r="F250" s="148" t="s">
        <v>737</v>
      </c>
      <c r="G250" s="149" t="s">
        <v>1372</v>
      </c>
      <c r="H250" s="150" t="s">
        <v>746</v>
      </c>
      <c r="I250" s="150" t="s">
        <v>51</v>
      </c>
      <c r="J250" s="170" t="s">
        <v>747</v>
      </c>
      <c r="K250" s="150" t="s">
        <v>741</v>
      </c>
      <c r="L250" s="150" t="s">
        <v>748</v>
      </c>
      <c r="M250" s="150" t="s">
        <v>1515</v>
      </c>
      <c r="N250" s="150"/>
      <c r="O250" s="150"/>
      <c r="P250" s="153">
        <v>1</v>
      </c>
      <c r="Q250" s="153">
        <v>1</v>
      </c>
      <c r="R250" s="153"/>
      <c r="S250" s="168"/>
      <c r="T250" s="201"/>
      <c r="U250" s="201"/>
      <c r="V250" s="201"/>
      <c r="W250" s="201"/>
      <c r="X250" s="201"/>
      <c r="Y250" s="201"/>
      <c r="Z250" s="201"/>
      <c r="AA250" s="201"/>
      <c r="AB250" s="201"/>
      <c r="AC250" s="201"/>
      <c r="AD250" s="201"/>
      <c r="AE250" s="36" t="str">
        <f t="shared" si="2"/>
        <v>Desenvolvimento de solução tecnológica</v>
      </c>
      <c r="AF250" s="36"/>
    </row>
    <row r="251" spans="1:32" ht="75" x14ac:dyDescent="0.35">
      <c r="A251" s="60">
        <v>6</v>
      </c>
      <c r="B251" s="61" t="s">
        <v>1363</v>
      </c>
      <c r="C251" s="92" t="s">
        <v>1364</v>
      </c>
      <c r="D251" s="61" t="s">
        <v>1365</v>
      </c>
      <c r="E251" s="147" t="s">
        <v>736</v>
      </c>
      <c r="F251" s="148" t="s">
        <v>737</v>
      </c>
      <c r="G251" s="149" t="s">
        <v>1373</v>
      </c>
      <c r="H251" s="150" t="s">
        <v>749</v>
      </c>
      <c r="I251" s="150" t="s">
        <v>51</v>
      </c>
      <c r="J251" s="150" t="s">
        <v>70</v>
      </c>
      <c r="K251" s="150" t="s">
        <v>741</v>
      </c>
      <c r="L251" s="150" t="s">
        <v>423</v>
      </c>
      <c r="M251" s="150" t="s">
        <v>1515</v>
      </c>
      <c r="N251" s="150"/>
      <c r="O251" s="150"/>
      <c r="P251" s="153">
        <v>10</v>
      </c>
      <c r="Q251" s="153">
        <v>2</v>
      </c>
      <c r="R251" s="153">
        <v>3</v>
      </c>
      <c r="S251" s="168">
        <v>6</v>
      </c>
      <c r="T251" s="201"/>
      <c r="U251" s="201"/>
      <c r="V251" s="201"/>
      <c r="W251" s="201"/>
      <c r="X251" s="201"/>
      <c r="Y251" s="201"/>
      <c r="Z251" s="201"/>
      <c r="AA251" s="201"/>
      <c r="AB251" s="201"/>
      <c r="AC251" s="201"/>
      <c r="AD251" s="201"/>
      <c r="AE251" s="42" t="str">
        <f t="shared" si="2"/>
        <v>Publicação de resultados de</v>
      </c>
      <c r="AF251" s="42"/>
    </row>
    <row r="252" spans="1:32" ht="90" x14ac:dyDescent="0.35">
      <c r="A252" s="60">
        <v>6</v>
      </c>
      <c r="B252" s="61" t="s">
        <v>1363</v>
      </c>
      <c r="C252" s="92" t="s">
        <v>1364</v>
      </c>
      <c r="D252" s="61" t="s">
        <v>1365</v>
      </c>
      <c r="E252" s="147" t="s">
        <v>750</v>
      </c>
      <c r="F252" s="148" t="s">
        <v>751</v>
      </c>
      <c r="G252" s="149" t="s">
        <v>1374</v>
      </c>
      <c r="H252" s="150" t="s">
        <v>752</v>
      </c>
      <c r="I252" s="150" t="s">
        <v>51</v>
      </c>
      <c r="J252" s="150" t="s">
        <v>646</v>
      </c>
      <c r="K252" s="150" t="s">
        <v>753</v>
      </c>
      <c r="L252" s="150" t="s">
        <v>754</v>
      </c>
      <c r="M252" s="69" t="s">
        <v>1516</v>
      </c>
      <c r="N252" s="150"/>
      <c r="O252" s="150"/>
      <c r="P252" s="153">
        <v>1</v>
      </c>
      <c r="Q252" s="153">
        <v>1</v>
      </c>
      <c r="R252" s="153"/>
      <c r="S252" s="168"/>
      <c r="T252" s="201"/>
      <c r="U252" s="201"/>
      <c r="V252" s="201"/>
      <c r="W252" s="201"/>
      <c r="X252" s="201"/>
      <c r="Y252" s="201"/>
      <c r="Z252" s="201"/>
      <c r="AA252" s="201"/>
      <c r="AB252" s="201"/>
      <c r="AC252" s="201"/>
      <c r="AD252" s="201"/>
      <c r="AE252" s="36" t="str">
        <f t="shared" si="2"/>
        <v>Publicação do Plano de</v>
      </c>
      <c r="AF252" s="36"/>
    </row>
    <row r="253" spans="1:32" ht="90" x14ac:dyDescent="0.35">
      <c r="A253" s="60">
        <v>6</v>
      </c>
      <c r="B253" s="61" t="s">
        <v>1363</v>
      </c>
      <c r="C253" s="92" t="s">
        <v>1364</v>
      </c>
      <c r="D253" s="61" t="s">
        <v>1365</v>
      </c>
      <c r="E253" s="147" t="s">
        <v>750</v>
      </c>
      <c r="F253" s="148" t="s">
        <v>751</v>
      </c>
      <c r="G253" s="149" t="s">
        <v>1375</v>
      </c>
      <c r="H253" s="150" t="s">
        <v>755</v>
      </c>
      <c r="I253" s="150" t="s">
        <v>51</v>
      </c>
      <c r="J253" s="150" t="s">
        <v>646</v>
      </c>
      <c r="K253" s="150" t="s">
        <v>756</v>
      </c>
      <c r="L253" s="150" t="s">
        <v>464</v>
      </c>
      <c r="M253" s="69" t="s">
        <v>1516</v>
      </c>
      <c r="N253" s="150"/>
      <c r="O253" s="150"/>
      <c r="P253" s="153">
        <v>1</v>
      </c>
      <c r="Q253" s="153">
        <v>1</v>
      </c>
      <c r="R253" s="153"/>
      <c r="S253" s="168"/>
      <c r="T253" s="201"/>
      <c r="U253" s="201"/>
      <c r="V253" s="201"/>
      <c r="W253" s="201"/>
      <c r="X253" s="201"/>
      <c r="Y253" s="201"/>
      <c r="Z253" s="201"/>
      <c r="AA253" s="201"/>
      <c r="AB253" s="201"/>
      <c r="AC253" s="201"/>
      <c r="AD253" s="201"/>
      <c r="AE253" s="42" t="str">
        <f t="shared" si="2"/>
        <v>Elaboração e publicação do</v>
      </c>
      <c r="AF253" s="42"/>
    </row>
    <row r="254" spans="1:32" ht="66" x14ac:dyDescent="0.35">
      <c r="A254" s="60">
        <v>6</v>
      </c>
      <c r="B254" s="61" t="s">
        <v>1363</v>
      </c>
      <c r="C254" s="92" t="s">
        <v>1364</v>
      </c>
      <c r="D254" s="61" t="s">
        <v>1365</v>
      </c>
      <c r="E254" s="147" t="s">
        <v>757</v>
      </c>
      <c r="F254" s="148" t="s">
        <v>1376</v>
      </c>
      <c r="G254" s="149" t="s">
        <v>1377</v>
      </c>
      <c r="H254" s="150" t="s">
        <v>758</v>
      </c>
      <c r="I254" s="150" t="s">
        <v>51</v>
      </c>
      <c r="J254" s="150" t="s">
        <v>70</v>
      </c>
      <c r="K254" s="150" t="s">
        <v>759</v>
      </c>
      <c r="L254" s="150" t="s">
        <v>640</v>
      </c>
      <c r="M254" s="69" t="s">
        <v>1516</v>
      </c>
      <c r="N254" s="150"/>
      <c r="O254" s="150"/>
      <c r="P254" s="153">
        <v>1</v>
      </c>
      <c r="Q254" s="153"/>
      <c r="R254" s="153">
        <v>1</v>
      </c>
      <c r="S254" s="168"/>
      <c r="T254" s="201"/>
      <c r="U254" s="201"/>
      <c r="V254" s="201"/>
      <c r="W254" s="201"/>
      <c r="X254" s="201"/>
      <c r="Y254" s="201"/>
      <c r="Z254" s="201"/>
      <c r="AA254" s="201"/>
      <c r="AB254" s="201"/>
      <c r="AC254" s="201"/>
      <c r="AD254" s="201"/>
      <c r="AE254" s="36" t="str">
        <f t="shared" si="2"/>
        <v>Elaboração de diagnóstico estadual</v>
      </c>
      <c r="AF254" s="36"/>
    </row>
    <row r="255" spans="1:32" ht="66" x14ac:dyDescent="0.35">
      <c r="A255" s="60">
        <v>6</v>
      </c>
      <c r="B255" s="61" t="s">
        <v>1363</v>
      </c>
      <c r="C255" s="92" t="s">
        <v>1364</v>
      </c>
      <c r="D255" s="61" t="s">
        <v>1365</v>
      </c>
      <c r="E255" s="147" t="s">
        <v>757</v>
      </c>
      <c r="F255" s="148" t="s">
        <v>1376</v>
      </c>
      <c r="G255" s="149" t="s">
        <v>1378</v>
      </c>
      <c r="H255" s="150" t="s">
        <v>760</v>
      </c>
      <c r="I255" s="150" t="s">
        <v>51</v>
      </c>
      <c r="J255" s="150" t="s">
        <v>70</v>
      </c>
      <c r="K255" s="150" t="s">
        <v>761</v>
      </c>
      <c r="L255" s="150" t="s">
        <v>121</v>
      </c>
      <c r="M255" s="69" t="s">
        <v>1516</v>
      </c>
      <c r="N255" s="150"/>
      <c r="O255" s="150"/>
      <c r="P255" s="153">
        <v>1</v>
      </c>
      <c r="Q255" s="153">
        <v>1</v>
      </c>
      <c r="R255" s="153"/>
      <c r="S255" s="168"/>
      <c r="T255" s="201"/>
      <c r="U255" s="201"/>
      <c r="V255" s="201"/>
      <c r="W255" s="201"/>
      <c r="X255" s="201"/>
      <c r="Y255" s="201"/>
      <c r="Z255" s="201"/>
      <c r="AA255" s="201"/>
      <c r="AB255" s="201"/>
      <c r="AC255" s="201"/>
      <c r="AD255" s="201"/>
      <c r="AE255" s="42" t="str">
        <f t="shared" si="2"/>
        <v>Elaboração e publicação de</v>
      </c>
      <c r="AF255" s="42"/>
    </row>
    <row r="256" spans="1:32" ht="66" x14ac:dyDescent="0.35">
      <c r="A256" s="60">
        <v>6</v>
      </c>
      <c r="B256" s="61" t="s">
        <v>1363</v>
      </c>
      <c r="C256" s="92" t="s">
        <v>1364</v>
      </c>
      <c r="D256" s="61" t="s">
        <v>1365</v>
      </c>
      <c r="E256" s="147" t="s">
        <v>757</v>
      </c>
      <c r="F256" s="148" t="s">
        <v>1376</v>
      </c>
      <c r="G256" s="149" t="s">
        <v>1379</v>
      </c>
      <c r="H256" s="148" t="s">
        <v>762</v>
      </c>
      <c r="I256" s="148" t="s">
        <v>51</v>
      </c>
      <c r="J256" s="148" t="s">
        <v>70</v>
      </c>
      <c r="K256" s="148" t="s">
        <v>759</v>
      </c>
      <c r="L256" s="150" t="s">
        <v>763</v>
      </c>
      <c r="M256" s="69" t="s">
        <v>1516</v>
      </c>
      <c r="N256" s="150"/>
      <c r="O256" s="150"/>
      <c r="P256" s="153">
        <v>32</v>
      </c>
      <c r="Q256" s="153"/>
      <c r="R256" s="153">
        <v>12</v>
      </c>
      <c r="S256" s="168">
        <v>20</v>
      </c>
      <c r="T256" s="201"/>
      <c r="U256" s="201"/>
      <c r="V256" s="201"/>
      <c r="W256" s="201"/>
      <c r="X256" s="201"/>
      <c r="Y256" s="201"/>
      <c r="Z256" s="201"/>
      <c r="AA256" s="201"/>
      <c r="AB256" s="201"/>
      <c r="AC256" s="201"/>
      <c r="AD256" s="201"/>
      <c r="AE256" s="36" t="str">
        <f t="shared" si="2"/>
        <v>Realização de ciclos regionais</v>
      </c>
      <c r="AF256" s="36"/>
    </row>
    <row r="257" spans="1:32" ht="66" x14ac:dyDescent="0.35">
      <c r="A257" s="60">
        <v>6</v>
      </c>
      <c r="B257" s="61" t="s">
        <v>1363</v>
      </c>
      <c r="C257" s="92" t="s">
        <v>1364</v>
      </c>
      <c r="D257" s="61" t="s">
        <v>1365</v>
      </c>
      <c r="E257" s="147" t="s">
        <v>757</v>
      </c>
      <c r="F257" s="148" t="s">
        <v>1376</v>
      </c>
      <c r="G257" s="149" t="s">
        <v>1380</v>
      </c>
      <c r="H257" s="148" t="s">
        <v>762</v>
      </c>
      <c r="I257" s="148" t="s">
        <v>51</v>
      </c>
      <c r="J257" s="148" t="s">
        <v>70</v>
      </c>
      <c r="K257" s="148" t="s">
        <v>759</v>
      </c>
      <c r="L257" s="150" t="s">
        <v>407</v>
      </c>
      <c r="M257" s="69" t="s">
        <v>1516</v>
      </c>
      <c r="N257" s="150"/>
      <c r="O257" s="150"/>
      <c r="P257" s="155">
        <v>1</v>
      </c>
      <c r="Q257" s="155">
        <v>0.25</v>
      </c>
      <c r="R257" s="155">
        <v>0.5</v>
      </c>
      <c r="S257" s="171">
        <v>1</v>
      </c>
      <c r="T257" s="202"/>
      <c r="U257" s="202"/>
      <c r="V257" s="202"/>
      <c r="W257" s="202"/>
      <c r="X257" s="202"/>
      <c r="Y257" s="202"/>
      <c r="Z257" s="202"/>
      <c r="AA257" s="202"/>
      <c r="AB257" s="202"/>
      <c r="AC257" s="202"/>
      <c r="AD257" s="202"/>
      <c r="AE257" s="42" t="str">
        <f t="shared" si="2"/>
        <v>Realização de ciclos regionais</v>
      </c>
      <c r="AF257" s="42"/>
    </row>
    <row r="258" spans="1:32" ht="75" x14ac:dyDescent="0.35">
      <c r="A258" s="60">
        <v>6</v>
      </c>
      <c r="B258" s="61" t="s">
        <v>1363</v>
      </c>
      <c r="C258" s="92" t="s">
        <v>1364</v>
      </c>
      <c r="D258" s="61" t="s">
        <v>1365</v>
      </c>
      <c r="E258" s="147" t="s">
        <v>764</v>
      </c>
      <c r="F258" s="148" t="s">
        <v>765</v>
      </c>
      <c r="G258" s="149" t="s">
        <v>1381</v>
      </c>
      <c r="H258" s="150" t="s">
        <v>766</v>
      </c>
      <c r="I258" s="150" t="s">
        <v>51</v>
      </c>
      <c r="J258" s="150" t="s">
        <v>70</v>
      </c>
      <c r="K258" s="150" t="s">
        <v>767</v>
      </c>
      <c r="L258" s="150" t="s">
        <v>768</v>
      </c>
      <c r="M258" s="69" t="s">
        <v>1516</v>
      </c>
      <c r="N258" s="150"/>
      <c r="O258" s="150"/>
      <c r="P258" s="153">
        <v>9</v>
      </c>
      <c r="Q258" s="153"/>
      <c r="R258" s="153">
        <v>3</v>
      </c>
      <c r="S258" s="168">
        <v>6</v>
      </c>
      <c r="T258" s="201"/>
      <c r="U258" s="201"/>
      <c r="V258" s="201"/>
      <c r="W258" s="201"/>
      <c r="X258" s="201"/>
      <c r="Y258" s="201"/>
      <c r="Z258" s="201"/>
      <c r="AA258" s="201"/>
      <c r="AB258" s="201"/>
      <c r="AC258" s="201"/>
      <c r="AD258" s="201"/>
      <c r="AE258" s="36" t="str">
        <f t="shared" si="2"/>
        <v>Elaboração de plano anual</v>
      </c>
      <c r="AF258" s="36"/>
    </row>
    <row r="259" spans="1:32" ht="71.25" customHeight="1" x14ac:dyDescent="0.35">
      <c r="A259" s="60">
        <v>6</v>
      </c>
      <c r="B259" s="61" t="s">
        <v>1363</v>
      </c>
      <c r="C259" s="92" t="s">
        <v>1364</v>
      </c>
      <c r="D259" s="61" t="s">
        <v>1365</v>
      </c>
      <c r="E259" s="147" t="s">
        <v>764</v>
      </c>
      <c r="F259" s="148" t="s">
        <v>765</v>
      </c>
      <c r="G259" s="149" t="s">
        <v>1382</v>
      </c>
      <c r="H259" s="148" t="s">
        <v>769</v>
      </c>
      <c r="I259" s="148" t="s">
        <v>51</v>
      </c>
      <c r="J259" s="169" t="s">
        <v>70</v>
      </c>
      <c r="K259" s="148" t="s">
        <v>767</v>
      </c>
      <c r="L259" s="150" t="s">
        <v>770</v>
      </c>
      <c r="M259" s="69" t="s">
        <v>1516</v>
      </c>
      <c r="N259" s="150"/>
      <c r="O259" s="150"/>
      <c r="P259" s="153">
        <v>4</v>
      </c>
      <c r="Q259" s="153"/>
      <c r="R259" s="153">
        <v>2</v>
      </c>
      <c r="S259" s="168">
        <v>2</v>
      </c>
      <c r="T259" s="201"/>
      <c r="U259" s="201"/>
      <c r="V259" s="201"/>
      <c r="W259" s="201"/>
      <c r="X259" s="201"/>
      <c r="Y259" s="201"/>
      <c r="Z259" s="201"/>
      <c r="AA259" s="201"/>
      <c r="AB259" s="201"/>
      <c r="AC259" s="201"/>
      <c r="AD259" s="201"/>
      <c r="AE259" s="42" t="str">
        <f t="shared" si="2"/>
        <v>Realização de fóruns, workshops</v>
      </c>
      <c r="AF259" s="42"/>
    </row>
    <row r="260" spans="1:32" ht="75" x14ac:dyDescent="0.35">
      <c r="A260" s="60">
        <v>6</v>
      </c>
      <c r="B260" s="61" t="s">
        <v>1363</v>
      </c>
      <c r="C260" s="92" t="s">
        <v>1364</v>
      </c>
      <c r="D260" s="61" t="s">
        <v>1365</v>
      </c>
      <c r="E260" s="147" t="s">
        <v>764</v>
      </c>
      <c r="F260" s="148" t="s">
        <v>765</v>
      </c>
      <c r="G260" s="149" t="s">
        <v>1382</v>
      </c>
      <c r="H260" s="148" t="s">
        <v>769</v>
      </c>
      <c r="I260" s="148" t="s">
        <v>51</v>
      </c>
      <c r="J260" s="169" t="s">
        <v>70</v>
      </c>
      <c r="K260" s="148" t="s">
        <v>767</v>
      </c>
      <c r="L260" s="150" t="s">
        <v>771</v>
      </c>
      <c r="M260" s="69" t="s">
        <v>1516</v>
      </c>
      <c r="N260" s="150"/>
      <c r="O260" s="150"/>
      <c r="P260" s="153">
        <v>9</v>
      </c>
      <c r="Q260" s="153"/>
      <c r="R260" s="153">
        <v>3</v>
      </c>
      <c r="S260" s="168">
        <v>6</v>
      </c>
      <c r="T260" s="201"/>
      <c r="U260" s="201"/>
      <c r="V260" s="201"/>
      <c r="W260" s="201"/>
      <c r="X260" s="201"/>
      <c r="Y260" s="201"/>
      <c r="Z260" s="201"/>
      <c r="AA260" s="201"/>
      <c r="AB260" s="201"/>
      <c r="AC260" s="201"/>
      <c r="AD260" s="201"/>
      <c r="AE260" s="36" t="str">
        <f t="shared" si="2"/>
        <v>Realização de fóruns, workshops</v>
      </c>
      <c r="AF260" s="36"/>
    </row>
    <row r="261" spans="1:32" ht="75" x14ac:dyDescent="0.35">
      <c r="A261" s="60">
        <v>6</v>
      </c>
      <c r="B261" s="61" t="s">
        <v>1363</v>
      </c>
      <c r="C261" s="92" t="s">
        <v>1364</v>
      </c>
      <c r="D261" s="61" t="s">
        <v>1365</v>
      </c>
      <c r="E261" s="147" t="s">
        <v>764</v>
      </c>
      <c r="F261" s="148" t="s">
        <v>765</v>
      </c>
      <c r="G261" s="149" t="s">
        <v>1382</v>
      </c>
      <c r="H261" s="148" t="s">
        <v>769</v>
      </c>
      <c r="I261" s="148" t="s">
        <v>51</v>
      </c>
      <c r="J261" s="169" t="s">
        <v>70</v>
      </c>
      <c r="K261" s="148" t="s">
        <v>767</v>
      </c>
      <c r="L261" s="150" t="s">
        <v>772</v>
      </c>
      <c r="M261" s="69" t="s">
        <v>1516</v>
      </c>
      <c r="N261" s="150"/>
      <c r="O261" s="150"/>
      <c r="P261" s="153">
        <v>32</v>
      </c>
      <c r="Q261" s="153"/>
      <c r="R261" s="153">
        <v>12</v>
      </c>
      <c r="S261" s="168">
        <v>20</v>
      </c>
      <c r="T261" s="201"/>
      <c r="U261" s="201"/>
      <c r="V261" s="201"/>
      <c r="W261" s="201"/>
      <c r="X261" s="201"/>
      <c r="Y261" s="201"/>
      <c r="Z261" s="201"/>
      <c r="AA261" s="201"/>
      <c r="AB261" s="201"/>
      <c r="AC261" s="201"/>
      <c r="AD261" s="201"/>
      <c r="AE261" s="42" t="str">
        <f t="shared" si="2"/>
        <v>Realização de fóruns, workshops</v>
      </c>
      <c r="AF261" s="42"/>
    </row>
    <row r="262" spans="1:32" ht="66" x14ac:dyDescent="0.35">
      <c r="A262" s="60">
        <v>6</v>
      </c>
      <c r="B262" s="61" t="s">
        <v>1363</v>
      </c>
      <c r="C262" s="92" t="s">
        <v>1364</v>
      </c>
      <c r="D262" s="61" t="s">
        <v>1365</v>
      </c>
      <c r="E262" s="147" t="s">
        <v>764</v>
      </c>
      <c r="F262" s="148" t="s">
        <v>765</v>
      </c>
      <c r="G262" s="149" t="s">
        <v>1383</v>
      </c>
      <c r="H262" s="150" t="s">
        <v>773</v>
      </c>
      <c r="I262" s="150" t="s">
        <v>51</v>
      </c>
      <c r="J262" s="150" t="s">
        <v>70</v>
      </c>
      <c r="K262" s="150" t="s">
        <v>774</v>
      </c>
      <c r="L262" s="150" t="s">
        <v>775</v>
      </c>
      <c r="M262" s="69" t="s">
        <v>1516</v>
      </c>
      <c r="N262" s="150"/>
      <c r="O262" s="150"/>
      <c r="P262" s="153">
        <v>1</v>
      </c>
      <c r="Q262" s="153">
        <v>1</v>
      </c>
      <c r="R262" s="153"/>
      <c r="S262" s="168"/>
      <c r="T262" s="201"/>
      <c r="U262" s="201"/>
      <c r="V262" s="201"/>
      <c r="W262" s="201"/>
      <c r="X262" s="201"/>
      <c r="Y262" s="201"/>
      <c r="Z262" s="201"/>
      <c r="AA262" s="201"/>
      <c r="AB262" s="201"/>
      <c r="AC262" s="201"/>
      <c r="AD262" s="201"/>
      <c r="AE262" s="36" t="str">
        <f t="shared" si="2"/>
        <v>Oferecimento de cursos para</v>
      </c>
      <c r="AF262" s="36"/>
    </row>
    <row r="263" spans="1:32" ht="120" x14ac:dyDescent="0.35">
      <c r="A263" s="60">
        <v>6</v>
      </c>
      <c r="B263" s="61" t="s">
        <v>1363</v>
      </c>
      <c r="C263" s="92" t="s">
        <v>1364</v>
      </c>
      <c r="D263" s="61" t="s">
        <v>1365</v>
      </c>
      <c r="E263" s="147" t="s">
        <v>776</v>
      </c>
      <c r="F263" s="148" t="s">
        <v>777</v>
      </c>
      <c r="G263" s="149" t="s">
        <v>1384</v>
      </c>
      <c r="H263" s="148" t="s">
        <v>778</v>
      </c>
      <c r="I263" s="148" t="s">
        <v>42</v>
      </c>
      <c r="J263" s="148" t="s">
        <v>43</v>
      </c>
      <c r="K263" s="148" t="s">
        <v>779</v>
      </c>
      <c r="L263" s="150" t="s">
        <v>780</v>
      </c>
      <c r="M263" s="150" t="s">
        <v>1515</v>
      </c>
      <c r="N263" s="150"/>
      <c r="O263" s="150"/>
      <c r="P263" s="153">
        <v>16</v>
      </c>
      <c r="Q263" s="153"/>
      <c r="R263" s="153">
        <v>6</v>
      </c>
      <c r="S263" s="168">
        <v>10</v>
      </c>
      <c r="T263" s="201"/>
      <c r="U263" s="201"/>
      <c r="V263" s="201"/>
      <c r="W263" s="201"/>
      <c r="X263" s="201"/>
      <c r="Y263" s="201"/>
      <c r="Z263" s="201"/>
      <c r="AA263" s="201"/>
      <c r="AB263" s="201"/>
      <c r="AC263" s="201"/>
      <c r="AD263" s="201"/>
      <c r="AE263" s="42" t="str">
        <f t="shared" si="2"/>
        <v>Realização de encontros e</v>
      </c>
      <c r="AF263" s="42"/>
    </row>
    <row r="264" spans="1:32" ht="120" x14ac:dyDescent="0.35">
      <c r="A264" s="60">
        <v>6</v>
      </c>
      <c r="B264" s="61" t="s">
        <v>1363</v>
      </c>
      <c r="C264" s="92" t="s">
        <v>1364</v>
      </c>
      <c r="D264" s="61" t="s">
        <v>1365</v>
      </c>
      <c r="E264" s="147" t="s">
        <v>776</v>
      </c>
      <c r="F264" s="148" t="s">
        <v>777</v>
      </c>
      <c r="G264" s="149" t="s">
        <v>1384</v>
      </c>
      <c r="H264" s="148" t="s">
        <v>778</v>
      </c>
      <c r="I264" s="148" t="s">
        <v>42</v>
      </c>
      <c r="J264" s="148" t="s">
        <v>43</v>
      </c>
      <c r="K264" s="148" t="s">
        <v>779</v>
      </c>
      <c r="L264" s="150" t="s">
        <v>781</v>
      </c>
      <c r="M264" s="150" t="s">
        <v>1515</v>
      </c>
      <c r="N264" s="150"/>
      <c r="O264" s="150"/>
      <c r="P264" s="153">
        <v>8</v>
      </c>
      <c r="Q264" s="153"/>
      <c r="R264" s="153">
        <v>3</v>
      </c>
      <c r="S264" s="168">
        <v>5</v>
      </c>
      <c r="T264" s="201"/>
      <c r="U264" s="201"/>
      <c r="V264" s="201"/>
      <c r="W264" s="201"/>
      <c r="X264" s="201"/>
      <c r="Y264" s="201"/>
      <c r="Z264" s="201"/>
      <c r="AA264" s="201"/>
      <c r="AB264" s="201"/>
      <c r="AC264" s="201"/>
      <c r="AD264" s="201"/>
      <c r="AE264" s="36" t="str">
        <f t="shared" si="2"/>
        <v>Realização de encontros e</v>
      </c>
      <c r="AF264" s="36"/>
    </row>
    <row r="265" spans="1:32" ht="66" x14ac:dyDescent="0.35">
      <c r="A265" s="60">
        <v>6</v>
      </c>
      <c r="B265" s="61" t="s">
        <v>1363</v>
      </c>
      <c r="C265" s="92" t="s">
        <v>1364</v>
      </c>
      <c r="D265" s="61" t="s">
        <v>1365</v>
      </c>
      <c r="E265" s="147" t="s">
        <v>776</v>
      </c>
      <c r="F265" s="148" t="s">
        <v>777</v>
      </c>
      <c r="G265" s="149" t="s">
        <v>1385</v>
      </c>
      <c r="H265" s="150" t="s">
        <v>782</v>
      </c>
      <c r="I265" s="150" t="s">
        <v>51</v>
      </c>
      <c r="J265" s="170" t="s">
        <v>783</v>
      </c>
      <c r="K265" s="150" t="s">
        <v>42</v>
      </c>
      <c r="L265" s="150" t="s">
        <v>784</v>
      </c>
      <c r="M265" s="150" t="s">
        <v>1515</v>
      </c>
      <c r="N265" s="150"/>
      <c r="O265" s="150"/>
      <c r="P265" s="153">
        <v>1</v>
      </c>
      <c r="Q265" s="153"/>
      <c r="R265" s="153">
        <v>1</v>
      </c>
      <c r="S265" s="168"/>
      <c r="T265" s="201"/>
      <c r="U265" s="201"/>
      <c r="V265" s="201"/>
      <c r="W265" s="201"/>
      <c r="X265" s="201"/>
      <c r="Y265" s="201"/>
      <c r="Z265" s="201"/>
      <c r="AA265" s="201"/>
      <c r="AB265" s="201"/>
      <c r="AC265" s="201"/>
      <c r="AD265" s="201"/>
      <c r="AE265" s="42" t="str">
        <f t="shared" si="2"/>
        <v>Elaboração e disseminação de</v>
      </c>
      <c r="AF265" s="42"/>
    </row>
    <row r="266" spans="1:32" ht="66" x14ac:dyDescent="0.35">
      <c r="A266" s="60">
        <v>6</v>
      </c>
      <c r="B266" s="61" t="s">
        <v>1363</v>
      </c>
      <c r="C266" s="92" t="s">
        <v>1386</v>
      </c>
      <c r="D266" s="61" t="s">
        <v>1387</v>
      </c>
      <c r="E266" s="147" t="s">
        <v>785</v>
      </c>
      <c r="F266" s="148" t="s">
        <v>786</v>
      </c>
      <c r="G266" s="149" t="s">
        <v>1388</v>
      </c>
      <c r="H266" s="150" t="s">
        <v>787</v>
      </c>
      <c r="I266" s="150" t="s">
        <v>51</v>
      </c>
      <c r="J266" s="150" t="s">
        <v>70</v>
      </c>
      <c r="K266" s="150" t="s">
        <v>788</v>
      </c>
      <c r="L266" s="150" t="s">
        <v>789</v>
      </c>
      <c r="M266" s="69" t="s">
        <v>1516</v>
      </c>
      <c r="N266" s="150"/>
      <c r="O266" s="150"/>
      <c r="P266" s="153">
        <v>1</v>
      </c>
      <c r="Q266" s="153">
        <v>1</v>
      </c>
      <c r="R266" s="153"/>
      <c r="S266" s="168"/>
      <c r="T266" s="201"/>
      <c r="U266" s="201"/>
      <c r="V266" s="201"/>
      <c r="W266" s="201"/>
      <c r="X266" s="201"/>
      <c r="Y266" s="201"/>
      <c r="Z266" s="201"/>
      <c r="AA266" s="201"/>
      <c r="AB266" s="201"/>
      <c r="AC266" s="201"/>
      <c r="AD266" s="201"/>
      <c r="AE266" s="36" t="str">
        <f t="shared" si="2"/>
        <v>Elaboração de modelo metodológico</v>
      </c>
      <c r="AF266" s="36"/>
    </row>
    <row r="267" spans="1:32" ht="66" x14ac:dyDescent="0.35">
      <c r="A267" s="60">
        <v>6</v>
      </c>
      <c r="B267" s="61" t="s">
        <v>1363</v>
      </c>
      <c r="C267" s="92" t="s">
        <v>1386</v>
      </c>
      <c r="D267" s="61" t="s">
        <v>1387</v>
      </c>
      <c r="E267" s="147" t="s">
        <v>785</v>
      </c>
      <c r="F267" s="148" t="s">
        <v>786</v>
      </c>
      <c r="G267" s="149" t="s">
        <v>1389</v>
      </c>
      <c r="H267" s="150" t="s">
        <v>790</v>
      </c>
      <c r="I267" s="150" t="s">
        <v>51</v>
      </c>
      <c r="J267" s="150" t="s">
        <v>70</v>
      </c>
      <c r="K267" s="150" t="s">
        <v>788</v>
      </c>
      <c r="L267" s="150" t="s">
        <v>791</v>
      </c>
      <c r="M267" s="69" t="s">
        <v>1516</v>
      </c>
      <c r="N267" s="150"/>
      <c r="O267" s="150"/>
      <c r="P267" s="153">
        <v>16</v>
      </c>
      <c r="Q267" s="153"/>
      <c r="R267" s="153">
        <v>6</v>
      </c>
      <c r="S267" s="168">
        <v>10</v>
      </c>
      <c r="T267" s="201"/>
      <c r="U267" s="201"/>
      <c r="V267" s="201"/>
      <c r="W267" s="201"/>
      <c r="X267" s="201"/>
      <c r="Y267" s="201"/>
      <c r="Z267" s="201"/>
      <c r="AA267" s="201"/>
      <c r="AB267" s="201"/>
      <c r="AC267" s="201"/>
      <c r="AD267" s="201"/>
      <c r="AE267" s="42" t="str">
        <f t="shared" si="2"/>
        <v>Difusão dos resultados junto</v>
      </c>
      <c r="AF267" s="42"/>
    </row>
    <row r="268" spans="1:32" ht="66" x14ac:dyDescent="0.35">
      <c r="A268" s="60">
        <v>6</v>
      </c>
      <c r="B268" s="61" t="s">
        <v>1363</v>
      </c>
      <c r="C268" s="92" t="s">
        <v>1386</v>
      </c>
      <c r="D268" s="61" t="s">
        <v>1387</v>
      </c>
      <c r="E268" s="147" t="s">
        <v>792</v>
      </c>
      <c r="F268" s="148" t="s">
        <v>793</v>
      </c>
      <c r="G268" s="149" t="s">
        <v>1390</v>
      </c>
      <c r="H268" s="150" t="s">
        <v>794</v>
      </c>
      <c r="I268" s="150" t="s">
        <v>51</v>
      </c>
      <c r="J268" s="170" t="s">
        <v>646</v>
      </c>
      <c r="K268" s="150" t="s">
        <v>795</v>
      </c>
      <c r="L268" s="150" t="s">
        <v>640</v>
      </c>
      <c r="M268" s="150" t="s">
        <v>1515</v>
      </c>
      <c r="N268" s="150"/>
      <c r="O268" s="150"/>
      <c r="P268" s="153">
        <v>1</v>
      </c>
      <c r="Q268" s="153">
        <v>1</v>
      </c>
      <c r="R268" s="153"/>
      <c r="S268" s="168"/>
      <c r="T268" s="201"/>
      <c r="U268" s="201"/>
      <c r="V268" s="201"/>
      <c r="W268" s="201"/>
      <c r="X268" s="201"/>
      <c r="Y268" s="201"/>
      <c r="Z268" s="201"/>
      <c r="AA268" s="201"/>
      <c r="AB268" s="201"/>
      <c r="AC268" s="201"/>
      <c r="AD268" s="201"/>
      <c r="AE268" s="36" t="str">
        <f t="shared" si="2"/>
        <v>Realização de diagnóstico do</v>
      </c>
      <c r="AF268" s="36"/>
    </row>
    <row r="269" spans="1:32" ht="75" x14ac:dyDescent="0.35">
      <c r="A269" s="60">
        <v>6</v>
      </c>
      <c r="B269" s="61" t="s">
        <v>1363</v>
      </c>
      <c r="C269" s="92" t="s">
        <v>1386</v>
      </c>
      <c r="D269" s="61" t="s">
        <v>1387</v>
      </c>
      <c r="E269" s="147" t="s">
        <v>792</v>
      </c>
      <c r="F269" s="148" t="s">
        <v>793</v>
      </c>
      <c r="G269" s="149" t="s">
        <v>1391</v>
      </c>
      <c r="H269" s="150" t="s">
        <v>796</v>
      </c>
      <c r="I269" s="150" t="s">
        <v>51</v>
      </c>
      <c r="J269" s="150" t="s">
        <v>646</v>
      </c>
      <c r="K269" s="150" t="s">
        <v>797</v>
      </c>
      <c r="L269" s="150" t="s">
        <v>798</v>
      </c>
      <c r="M269" s="150" t="s">
        <v>1515</v>
      </c>
      <c r="N269" s="150"/>
      <c r="O269" s="150"/>
      <c r="P269" s="153">
        <v>1</v>
      </c>
      <c r="Q269" s="153">
        <v>1</v>
      </c>
      <c r="R269" s="153"/>
      <c r="S269" s="168"/>
      <c r="T269" s="201"/>
      <c r="U269" s="201"/>
      <c r="V269" s="201"/>
      <c r="W269" s="201"/>
      <c r="X269" s="201"/>
      <c r="Y269" s="201"/>
      <c r="Z269" s="201"/>
      <c r="AA269" s="201"/>
      <c r="AB269" s="201"/>
      <c r="AC269" s="201"/>
      <c r="AD269" s="201"/>
      <c r="AE269" s="42" t="str">
        <f t="shared" si="2"/>
        <v>Definição de novos parâmetros</v>
      </c>
      <c r="AF269" s="42"/>
    </row>
    <row r="270" spans="1:32" ht="75" x14ac:dyDescent="0.35">
      <c r="A270" s="60">
        <v>6</v>
      </c>
      <c r="B270" s="61" t="s">
        <v>1363</v>
      </c>
      <c r="C270" s="92" t="s">
        <v>1386</v>
      </c>
      <c r="D270" s="61" t="s">
        <v>1387</v>
      </c>
      <c r="E270" s="147" t="s">
        <v>792</v>
      </c>
      <c r="F270" s="148" t="s">
        <v>793</v>
      </c>
      <c r="G270" s="149" t="s">
        <v>1392</v>
      </c>
      <c r="H270" s="150" t="s">
        <v>799</v>
      </c>
      <c r="I270" s="150" t="s">
        <v>51</v>
      </c>
      <c r="J270" s="150" t="s">
        <v>646</v>
      </c>
      <c r="K270" s="150" t="s">
        <v>797</v>
      </c>
      <c r="L270" s="150" t="s">
        <v>800</v>
      </c>
      <c r="M270" s="150" t="s">
        <v>1515</v>
      </c>
      <c r="N270" s="150"/>
      <c r="O270" s="150"/>
      <c r="P270" s="153">
        <v>1</v>
      </c>
      <c r="Q270" s="153"/>
      <c r="R270" s="153">
        <v>1</v>
      </c>
      <c r="S270" s="168"/>
      <c r="T270" s="201"/>
      <c r="U270" s="201"/>
      <c r="V270" s="201"/>
      <c r="W270" s="201"/>
      <c r="X270" s="201"/>
      <c r="Y270" s="201"/>
      <c r="Z270" s="201"/>
      <c r="AA270" s="201"/>
      <c r="AB270" s="201"/>
      <c r="AC270" s="201"/>
      <c r="AD270" s="201"/>
      <c r="AE270" s="36" t="str">
        <f t="shared" si="2"/>
        <v>Implementação de melhorias no</v>
      </c>
      <c r="AF270" s="36"/>
    </row>
    <row r="271" spans="1:32" ht="75" x14ac:dyDescent="0.35">
      <c r="A271" s="60">
        <v>6</v>
      </c>
      <c r="B271" s="61" t="s">
        <v>1363</v>
      </c>
      <c r="C271" s="92" t="s">
        <v>1386</v>
      </c>
      <c r="D271" s="61" t="s">
        <v>1387</v>
      </c>
      <c r="E271" s="147" t="s">
        <v>792</v>
      </c>
      <c r="F271" s="148" t="s">
        <v>793</v>
      </c>
      <c r="G271" s="149" t="s">
        <v>1393</v>
      </c>
      <c r="H271" s="150" t="s">
        <v>801</v>
      </c>
      <c r="I271" s="150" t="s">
        <v>51</v>
      </c>
      <c r="J271" s="170" t="s">
        <v>70</v>
      </c>
      <c r="K271" s="150" t="s">
        <v>802</v>
      </c>
      <c r="L271" s="150" t="s">
        <v>803</v>
      </c>
      <c r="M271" s="150" t="s">
        <v>1515</v>
      </c>
      <c r="N271" s="150"/>
      <c r="O271" s="150"/>
      <c r="P271" s="153">
        <v>8</v>
      </c>
      <c r="Q271" s="153"/>
      <c r="R271" s="153">
        <v>3</v>
      </c>
      <c r="S271" s="168">
        <v>5</v>
      </c>
      <c r="T271" s="201"/>
      <c r="U271" s="201"/>
      <c r="V271" s="201"/>
      <c r="W271" s="201"/>
      <c r="X271" s="201"/>
      <c r="Y271" s="201"/>
      <c r="Z271" s="201"/>
      <c r="AA271" s="201"/>
      <c r="AB271" s="201"/>
      <c r="AC271" s="201"/>
      <c r="AD271" s="201"/>
      <c r="AE271" s="42" t="str">
        <f t="shared" si="2"/>
        <v>Realização de capacitação dos</v>
      </c>
      <c r="AF271" s="42"/>
    </row>
    <row r="272" spans="1:32" ht="90" x14ac:dyDescent="0.35">
      <c r="A272" s="60">
        <v>6</v>
      </c>
      <c r="B272" s="61" t="s">
        <v>1363</v>
      </c>
      <c r="C272" s="92" t="s">
        <v>1386</v>
      </c>
      <c r="D272" s="61" t="s">
        <v>1387</v>
      </c>
      <c r="E272" s="147" t="s">
        <v>804</v>
      </c>
      <c r="F272" s="148" t="s">
        <v>805</v>
      </c>
      <c r="G272" s="149" t="s">
        <v>1394</v>
      </c>
      <c r="H272" s="150" t="s">
        <v>806</v>
      </c>
      <c r="I272" s="150" t="s">
        <v>51</v>
      </c>
      <c r="J272" s="150" t="s">
        <v>646</v>
      </c>
      <c r="K272" s="150" t="s">
        <v>807</v>
      </c>
      <c r="L272" s="150" t="s">
        <v>808</v>
      </c>
      <c r="M272" s="150" t="s">
        <v>1515</v>
      </c>
      <c r="N272" s="150"/>
      <c r="O272" s="150"/>
      <c r="P272" s="153">
        <v>16</v>
      </c>
      <c r="Q272" s="153"/>
      <c r="R272" s="153">
        <v>6</v>
      </c>
      <c r="S272" s="168">
        <v>10</v>
      </c>
      <c r="T272" s="201"/>
      <c r="U272" s="201"/>
      <c r="V272" s="201"/>
      <c r="W272" s="201"/>
      <c r="X272" s="201"/>
      <c r="Y272" s="201"/>
      <c r="Z272" s="201"/>
      <c r="AA272" s="201"/>
      <c r="AB272" s="201"/>
      <c r="AC272" s="201"/>
      <c r="AD272" s="201"/>
      <c r="AE272" s="36" t="str">
        <f t="shared" si="2"/>
        <v>Elaboração de planejamento integrado</v>
      </c>
      <c r="AF272" s="36"/>
    </row>
    <row r="273" spans="1:32" ht="66" x14ac:dyDescent="0.35">
      <c r="A273" s="60">
        <v>6</v>
      </c>
      <c r="B273" s="61" t="s">
        <v>1363</v>
      </c>
      <c r="C273" s="92" t="s">
        <v>1386</v>
      </c>
      <c r="D273" s="61" t="s">
        <v>1387</v>
      </c>
      <c r="E273" s="147" t="s">
        <v>804</v>
      </c>
      <c r="F273" s="148" t="s">
        <v>805</v>
      </c>
      <c r="G273" s="149" t="s">
        <v>1395</v>
      </c>
      <c r="H273" s="148" t="s">
        <v>809</v>
      </c>
      <c r="I273" s="148" t="s">
        <v>51</v>
      </c>
      <c r="J273" s="148" t="s">
        <v>646</v>
      </c>
      <c r="K273" s="148" t="s">
        <v>810</v>
      </c>
      <c r="L273" s="150" t="s">
        <v>811</v>
      </c>
      <c r="M273" s="150" t="s">
        <v>1515</v>
      </c>
      <c r="N273" s="150"/>
      <c r="O273" s="150"/>
      <c r="P273" s="155">
        <v>1</v>
      </c>
      <c r="Q273" s="153"/>
      <c r="R273" s="155">
        <v>1</v>
      </c>
      <c r="S273" s="168"/>
      <c r="T273" s="201"/>
      <c r="U273" s="201"/>
      <c r="V273" s="201"/>
      <c r="W273" s="201"/>
      <c r="X273" s="201"/>
      <c r="Y273" s="201"/>
      <c r="Z273" s="201"/>
      <c r="AA273" s="201"/>
      <c r="AB273" s="201"/>
      <c r="AC273" s="201"/>
      <c r="AD273" s="201"/>
      <c r="AE273" s="42" t="str">
        <f t="shared" si="2"/>
        <v>Realização de operações integradas</v>
      </c>
      <c r="AF273" s="42"/>
    </row>
    <row r="274" spans="1:32" ht="75" x14ac:dyDescent="0.35">
      <c r="A274" s="60">
        <v>6</v>
      </c>
      <c r="B274" s="61" t="s">
        <v>1363</v>
      </c>
      <c r="C274" s="92" t="s">
        <v>1386</v>
      </c>
      <c r="D274" s="61" t="s">
        <v>1387</v>
      </c>
      <c r="E274" s="147" t="s">
        <v>804</v>
      </c>
      <c r="F274" s="148" t="s">
        <v>805</v>
      </c>
      <c r="G274" s="149" t="s">
        <v>1395</v>
      </c>
      <c r="H274" s="148" t="s">
        <v>809</v>
      </c>
      <c r="I274" s="148" t="s">
        <v>51</v>
      </c>
      <c r="J274" s="148" t="s">
        <v>646</v>
      </c>
      <c r="K274" s="148" t="s">
        <v>810</v>
      </c>
      <c r="L274" s="150" t="s">
        <v>812</v>
      </c>
      <c r="M274" s="150" t="s">
        <v>1515</v>
      </c>
      <c r="N274" s="150"/>
      <c r="O274" s="150"/>
      <c r="P274" s="155">
        <v>0.25</v>
      </c>
      <c r="Q274" s="153"/>
      <c r="R274" s="155">
        <v>0.25</v>
      </c>
      <c r="S274" s="168"/>
      <c r="T274" s="201"/>
      <c r="U274" s="201"/>
      <c r="V274" s="201"/>
      <c r="W274" s="201"/>
      <c r="X274" s="201"/>
      <c r="Y274" s="201"/>
      <c r="Z274" s="201"/>
      <c r="AA274" s="201"/>
      <c r="AB274" s="201"/>
      <c r="AC274" s="201"/>
      <c r="AD274" s="201"/>
      <c r="AE274" s="36" t="str">
        <f t="shared" si="2"/>
        <v>Realização de operações integradas</v>
      </c>
      <c r="AF274" s="36"/>
    </row>
    <row r="275" spans="1:32" ht="75" x14ac:dyDescent="0.35">
      <c r="A275" s="60">
        <v>6</v>
      </c>
      <c r="B275" s="61" t="s">
        <v>1363</v>
      </c>
      <c r="C275" s="92" t="s">
        <v>1386</v>
      </c>
      <c r="D275" s="61" t="s">
        <v>1387</v>
      </c>
      <c r="E275" s="147" t="s">
        <v>813</v>
      </c>
      <c r="F275" s="148" t="s">
        <v>814</v>
      </c>
      <c r="G275" s="149" t="s">
        <v>1396</v>
      </c>
      <c r="H275" s="150" t="s">
        <v>815</v>
      </c>
      <c r="I275" s="150" t="s">
        <v>51</v>
      </c>
      <c r="J275" s="150" t="s">
        <v>646</v>
      </c>
      <c r="K275" s="150" t="s">
        <v>816</v>
      </c>
      <c r="L275" s="150" t="s">
        <v>817</v>
      </c>
      <c r="M275" s="150" t="s">
        <v>1515</v>
      </c>
      <c r="N275" s="150"/>
      <c r="O275" s="150"/>
      <c r="P275" s="153">
        <v>1</v>
      </c>
      <c r="Q275" s="153"/>
      <c r="R275" s="153">
        <v>1</v>
      </c>
      <c r="S275" s="168"/>
      <c r="T275" s="201"/>
      <c r="U275" s="201"/>
      <c r="V275" s="201"/>
      <c r="W275" s="201"/>
      <c r="X275" s="201"/>
      <c r="Y275" s="201"/>
      <c r="Z275" s="201"/>
      <c r="AA275" s="201"/>
      <c r="AB275" s="201"/>
      <c r="AC275" s="201"/>
      <c r="AD275" s="201"/>
      <c r="AE275" s="42" t="str">
        <f t="shared" si="2"/>
        <v>Elaboração de guia técnico</v>
      </c>
      <c r="AF275" s="42"/>
    </row>
    <row r="276" spans="1:32" ht="75" x14ac:dyDescent="0.35">
      <c r="A276" s="60">
        <v>6</v>
      </c>
      <c r="B276" s="61" t="s">
        <v>1363</v>
      </c>
      <c r="C276" s="92" t="s">
        <v>1386</v>
      </c>
      <c r="D276" s="61" t="s">
        <v>1387</v>
      </c>
      <c r="E276" s="147" t="s">
        <v>813</v>
      </c>
      <c r="F276" s="148" t="s">
        <v>814</v>
      </c>
      <c r="G276" s="149" t="s">
        <v>1397</v>
      </c>
      <c r="H276" s="150" t="s">
        <v>818</v>
      </c>
      <c r="I276" s="150" t="s">
        <v>51</v>
      </c>
      <c r="J276" s="150" t="s">
        <v>646</v>
      </c>
      <c r="K276" s="150" t="s">
        <v>816</v>
      </c>
      <c r="L276" s="150" t="s">
        <v>819</v>
      </c>
      <c r="M276" s="150" t="s">
        <v>1515</v>
      </c>
      <c r="N276" s="150"/>
      <c r="O276" s="150"/>
      <c r="P276" s="153">
        <v>1</v>
      </c>
      <c r="Q276" s="153">
        <v>1</v>
      </c>
      <c r="R276" s="153"/>
      <c r="S276" s="168"/>
      <c r="T276" s="201"/>
      <c r="U276" s="201"/>
      <c r="V276" s="201"/>
      <c r="W276" s="201"/>
      <c r="X276" s="201"/>
      <c r="Y276" s="201"/>
      <c r="Z276" s="201"/>
      <c r="AA276" s="201"/>
      <c r="AB276" s="201"/>
      <c r="AC276" s="201"/>
      <c r="AD276" s="201"/>
      <c r="AE276" s="36" t="str">
        <f t="shared" si="2"/>
        <v>Definição de requisitos técnicos</v>
      </c>
      <c r="AF276" s="36"/>
    </row>
    <row r="277" spans="1:32" ht="75" x14ac:dyDescent="0.35">
      <c r="A277" s="60">
        <v>6</v>
      </c>
      <c r="B277" s="61" t="s">
        <v>1363</v>
      </c>
      <c r="C277" s="92" t="s">
        <v>1386</v>
      </c>
      <c r="D277" s="61" t="s">
        <v>1387</v>
      </c>
      <c r="E277" s="147" t="s">
        <v>813</v>
      </c>
      <c r="F277" s="148" t="s">
        <v>814</v>
      </c>
      <c r="G277" s="149" t="s">
        <v>1398</v>
      </c>
      <c r="H277" s="150" t="s">
        <v>820</v>
      </c>
      <c r="I277" s="150" t="s">
        <v>51</v>
      </c>
      <c r="J277" s="150" t="s">
        <v>70</v>
      </c>
      <c r="K277" s="150" t="s">
        <v>816</v>
      </c>
      <c r="L277" s="150" t="s">
        <v>763</v>
      </c>
      <c r="M277" s="150" t="s">
        <v>1515</v>
      </c>
      <c r="N277" s="150"/>
      <c r="O277" s="150"/>
      <c r="P277" s="153">
        <v>10</v>
      </c>
      <c r="Q277" s="153">
        <v>2</v>
      </c>
      <c r="R277" s="153">
        <v>3</v>
      </c>
      <c r="S277" s="168">
        <v>5</v>
      </c>
      <c r="T277" s="201"/>
      <c r="U277" s="201"/>
      <c r="V277" s="201"/>
      <c r="W277" s="201"/>
      <c r="X277" s="201"/>
      <c r="Y277" s="201"/>
      <c r="Z277" s="201"/>
      <c r="AA277" s="201"/>
      <c r="AB277" s="201"/>
      <c r="AC277" s="201"/>
      <c r="AD277" s="201"/>
      <c r="AE277" s="42" t="str">
        <f t="shared" ref="AE277:AE340" si="3">_xlfn.TEXTBEFORE(TRIM(H277), " ", 4)</f>
        <v>Realização de capacitação da</v>
      </c>
      <c r="AF277" s="42"/>
    </row>
    <row r="278" spans="1:32" ht="66" x14ac:dyDescent="0.35">
      <c r="A278" s="60">
        <v>6</v>
      </c>
      <c r="B278" s="61" t="s">
        <v>1363</v>
      </c>
      <c r="C278" s="92" t="s">
        <v>1386</v>
      </c>
      <c r="D278" s="61" t="s">
        <v>1387</v>
      </c>
      <c r="E278" s="147" t="s">
        <v>821</v>
      </c>
      <c r="F278" s="148" t="s">
        <v>822</v>
      </c>
      <c r="G278" s="149" t="s">
        <v>1399</v>
      </c>
      <c r="H278" s="150" t="s">
        <v>823</v>
      </c>
      <c r="I278" s="150" t="s">
        <v>51</v>
      </c>
      <c r="J278" s="150" t="s">
        <v>70</v>
      </c>
      <c r="K278" s="150" t="s">
        <v>824</v>
      </c>
      <c r="L278" s="150" t="s">
        <v>825</v>
      </c>
      <c r="M278" s="150" t="s">
        <v>1515</v>
      </c>
      <c r="N278" s="150"/>
      <c r="O278" s="150"/>
      <c r="P278" s="153">
        <v>1</v>
      </c>
      <c r="Q278" s="153"/>
      <c r="R278" s="153">
        <v>1</v>
      </c>
      <c r="S278" s="168"/>
      <c r="T278" s="201"/>
      <c r="U278" s="201"/>
      <c r="V278" s="201"/>
      <c r="W278" s="201"/>
      <c r="X278" s="201"/>
      <c r="Y278" s="201"/>
      <c r="Z278" s="201"/>
      <c r="AA278" s="201"/>
      <c r="AB278" s="201"/>
      <c r="AC278" s="201"/>
      <c r="AD278" s="201"/>
      <c r="AE278" s="36" t="str">
        <f t="shared" si="3"/>
        <v>Realização de estudo técnico</v>
      </c>
      <c r="AF278" s="36"/>
    </row>
    <row r="279" spans="1:32" ht="66" x14ac:dyDescent="0.35">
      <c r="A279" s="60">
        <v>6</v>
      </c>
      <c r="B279" s="61" t="s">
        <v>1363</v>
      </c>
      <c r="C279" s="92" t="s">
        <v>1386</v>
      </c>
      <c r="D279" s="61" t="s">
        <v>1387</v>
      </c>
      <c r="E279" s="147" t="s">
        <v>821</v>
      </c>
      <c r="F279" s="148" t="s">
        <v>822</v>
      </c>
      <c r="G279" s="149" t="s">
        <v>1400</v>
      </c>
      <c r="H279" s="150" t="s">
        <v>826</v>
      </c>
      <c r="I279" s="150" t="s">
        <v>42</v>
      </c>
      <c r="J279" s="170" t="s">
        <v>47</v>
      </c>
      <c r="K279" s="150" t="s">
        <v>824</v>
      </c>
      <c r="L279" s="150" t="s">
        <v>827</v>
      </c>
      <c r="M279" s="150" t="s">
        <v>1515</v>
      </c>
      <c r="N279" s="150"/>
      <c r="O279" s="150"/>
      <c r="P279" s="153">
        <v>1</v>
      </c>
      <c r="Q279" s="153"/>
      <c r="R279" s="153">
        <v>1</v>
      </c>
      <c r="S279" s="168"/>
      <c r="T279" s="201"/>
      <c r="U279" s="201"/>
      <c r="V279" s="201"/>
      <c r="W279" s="201"/>
      <c r="X279" s="201"/>
      <c r="Y279" s="201"/>
      <c r="Z279" s="201"/>
      <c r="AA279" s="201"/>
      <c r="AB279" s="201"/>
      <c r="AC279" s="201"/>
      <c r="AD279" s="201"/>
      <c r="AE279" s="42" t="str">
        <f t="shared" si="3"/>
        <v>Definição de critérios e</v>
      </c>
      <c r="AF279" s="42"/>
    </row>
    <row r="280" spans="1:32" ht="66" x14ac:dyDescent="0.35">
      <c r="A280" s="60">
        <v>6</v>
      </c>
      <c r="B280" s="61" t="s">
        <v>1363</v>
      </c>
      <c r="C280" s="92" t="s">
        <v>1386</v>
      </c>
      <c r="D280" s="61" t="s">
        <v>1387</v>
      </c>
      <c r="E280" s="147" t="s">
        <v>821</v>
      </c>
      <c r="F280" s="148" t="s">
        <v>822</v>
      </c>
      <c r="G280" s="149" t="s">
        <v>1401</v>
      </c>
      <c r="H280" s="150" t="s">
        <v>828</v>
      </c>
      <c r="I280" s="170" t="s">
        <v>42</v>
      </c>
      <c r="J280" s="150" t="s">
        <v>47</v>
      </c>
      <c r="K280" s="150" t="s">
        <v>829</v>
      </c>
      <c r="L280" s="150" t="s">
        <v>830</v>
      </c>
      <c r="M280" s="150" t="s">
        <v>1515</v>
      </c>
      <c r="N280" s="150"/>
      <c r="O280" s="150"/>
      <c r="P280" s="155">
        <v>1</v>
      </c>
      <c r="Q280" s="153"/>
      <c r="R280" s="155">
        <v>0.5</v>
      </c>
      <c r="S280" s="171">
        <v>1</v>
      </c>
      <c r="T280" s="202"/>
      <c r="U280" s="202"/>
      <c r="V280" s="202"/>
      <c r="W280" s="202"/>
      <c r="X280" s="202"/>
      <c r="Y280" s="202"/>
      <c r="Z280" s="202"/>
      <c r="AA280" s="202"/>
      <c r="AB280" s="202"/>
      <c r="AC280" s="202"/>
      <c r="AD280" s="202"/>
      <c r="AE280" s="36" t="str">
        <f t="shared" si="3"/>
        <v>Acompanhamento da implantação de</v>
      </c>
      <c r="AF280" s="36"/>
    </row>
    <row r="281" spans="1:32" ht="71.25" customHeight="1" x14ac:dyDescent="0.35">
      <c r="A281" s="60">
        <v>6</v>
      </c>
      <c r="B281" s="61" t="s">
        <v>1363</v>
      </c>
      <c r="C281" s="92" t="s">
        <v>1386</v>
      </c>
      <c r="D281" s="61" t="s">
        <v>1387</v>
      </c>
      <c r="E281" s="147" t="s">
        <v>831</v>
      </c>
      <c r="F281" s="148" t="s">
        <v>832</v>
      </c>
      <c r="G281" s="149" t="s">
        <v>1402</v>
      </c>
      <c r="H281" s="150" t="s">
        <v>833</v>
      </c>
      <c r="I281" s="150" t="s">
        <v>51</v>
      </c>
      <c r="J281" s="150" t="s">
        <v>646</v>
      </c>
      <c r="K281" s="150" t="s">
        <v>834</v>
      </c>
      <c r="L281" s="150" t="s">
        <v>835</v>
      </c>
      <c r="M281" s="69" t="s">
        <v>1516</v>
      </c>
      <c r="N281" s="150"/>
      <c r="O281" s="150"/>
      <c r="P281" s="153">
        <v>1</v>
      </c>
      <c r="Q281" s="153"/>
      <c r="R281" s="153">
        <v>1</v>
      </c>
      <c r="S281" s="168"/>
      <c r="T281" s="201"/>
      <c r="U281" s="201"/>
      <c r="V281" s="201"/>
      <c r="W281" s="201"/>
      <c r="X281" s="201"/>
      <c r="Y281" s="201"/>
      <c r="Z281" s="201"/>
      <c r="AA281" s="201"/>
      <c r="AB281" s="201"/>
      <c r="AC281" s="201"/>
      <c r="AD281" s="201"/>
      <c r="AE281" s="42" t="str">
        <f t="shared" si="3"/>
        <v>Elaboração de plano de</v>
      </c>
      <c r="AF281" s="42"/>
    </row>
    <row r="282" spans="1:32" ht="66" x14ac:dyDescent="0.35">
      <c r="A282" s="60">
        <v>6</v>
      </c>
      <c r="B282" s="61" t="s">
        <v>1363</v>
      </c>
      <c r="C282" s="92" t="s">
        <v>1386</v>
      </c>
      <c r="D282" s="61" t="s">
        <v>1387</v>
      </c>
      <c r="E282" s="147" t="s">
        <v>831</v>
      </c>
      <c r="F282" s="148" t="s">
        <v>832</v>
      </c>
      <c r="G282" s="149" t="s">
        <v>1403</v>
      </c>
      <c r="H282" s="150" t="s">
        <v>836</v>
      </c>
      <c r="I282" s="150" t="s">
        <v>51</v>
      </c>
      <c r="J282" s="150" t="s">
        <v>646</v>
      </c>
      <c r="K282" s="150" t="s">
        <v>834</v>
      </c>
      <c r="L282" s="150" t="s">
        <v>837</v>
      </c>
      <c r="M282" s="69" t="s">
        <v>1516</v>
      </c>
      <c r="N282" s="150"/>
      <c r="O282" s="150"/>
      <c r="P282" s="153">
        <v>1</v>
      </c>
      <c r="Q282" s="153"/>
      <c r="R282" s="153">
        <v>1</v>
      </c>
      <c r="S282" s="168"/>
      <c r="T282" s="201"/>
      <c r="U282" s="201"/>
      <c r="V282" s="201"/>
      <c r="W282" s="201"/>
      <c r="X282" s="201"/>
      <c r="Y282" s="201"/>
      <c r="Z282" s="201"/>
      <c r="AA282" s="201"/>
      <c r="AB282" s="201"/>
      <c r="AC282" s="201"/>
      <c r="AD282" s="201"/>
      <c r="AE282" s="36" t="str">
        <f t="shared" si="3"/>
        <v>Implantação de mecanismos tecnológicos</v>
      </c>
      <c r="AF282" s="36"/>
    </row>
    <row r="283" spans="1:32" ht="90" x14ac:dyDescent="0.35">
      <c r="A283" s="60">
        <v>6</v>
      </c>
      <c r="B283" s="61" t="s">
        <v>1363</v>
      </c>
      <c r="C283" s="92" t="s">
        <v>1386</v>
      </c>
      <c r="D283" s="61" t="s">
        <v>1387</v>
      </c>
      <c r="E283" s="147" t="s">
        <v>838</v>
      </c>
      <c r="F283" s="148" t="s">
        <v>1404</v>
      </c>
      <c r="G283" s="149" t="s">
        <v>1405</v>
      </c>
      <c r="H283" s="148" t="s">
        <v>839</v>
      </c>
      <c r="I283" s="148" t="s">
        <v>537</v>
      </c>
      <c r="J283" s="169" t="s">
        <v>840</v>
      </c>
      <c r="K283" s="148" t="s">
        <v>841</v>
      </c>
      <c r="L283" s="150" t="s">
        <v>842</v>
      </c>
      <c r="M283" s="150" t="s">
        <v>1515</v>
      </c>
      <c r="N283" s="150"/>
      <c r="O283" s="150"/>
      <c r="P283" s="155">
        <v>1</v>
      </c>
      <c r="Q283" s="155">
        <v>1</v>
      </c>
      <c r="R283" s="153"/>
      <c r="S283" s="168"/>
      <c r="T283" s="201"/>
      <c r="U283" s="201"/>
      <c r="V283" s="201"/>
      <c r="W283" s="201"/>
      <c r="X283" s="201"/>
      <c r="Y283" s="201"/>
      <c r="Z283" s="201"/>
      <c r="AA283" s="201"/>
      <c r="AB283" s="201"/>
      <c r="AC283" s="201"/>
      <c r="AD283" s="201"/>
      <c r="AE283" s="42" t="str">
        <f t="shared" si="3"/>
        <v>Diagnóstico sobre fiscalização de</v>
      </c>
      <c r="AF283" s="42"/>
    </row>
    <row r="284" spans="1:32" ht="90" x14ac:dyDescent="0.35">
      <c r="A284" s="60">
        <v>6</v>
      </c>
      <c r="B284" s="61" t="s">
        <v>1363</v>
      </c>
      <c r="C284" s="92" t="s">
        <v>1386</v>
      </c>
      <c r="D284" s="61" t="s">
        <v>1387</v>
      </c>
      <c r="E284" s="147" t="s">
        <v>838</v>
      </c>
      <c r="F284" s="148" t="s">
        <v>1404</v>
      </c>
      <c r="G284" s="149" t="s">
        <v>1405</v>
      </c>
      <c r="H284" s="148" t="s">
        <v>839</v>
      </c>
      <c r="I284" s="148" t="s">
        <v>537</v>
      </c>
      <c r="J284" s="169" t="s">
        <v>840</v>
      </c>
      <c r="K284" s="148" t="s">
        <v>841</v>
      </c>
      <c r="L284" s="150" t="s">
        <v>176</v>
      </c>
      <c r="M284" s="150" t="s">
        <v>1515</v>
      </c>
      <c r="N284" s="150"/>
      <c r="O284" s="150"/>
      <c r="P284" s="153">
        <v>1</v>
      </c>
      <c r="Q284" s="153">
        <v>1</v>
      </c>
      <c r="R284" s="153"/>
      <c r="S284" s="168"/>
      <c r="T284" s="201"/>
      <c r="U284" s="201"/>
      <c r="V284" s="201"/>
      <c r="W284" s="201"/>
      <c r="X284" s="201"/>
      <c r="Y284" s="201"/>
      <c r="Z284" s="201"/>
      <c r="AA284" s="201"/>
      <c r="AB284" s="201"/>
      <c r="AC284" s="201"/>
      <c r="AD284" s="201"/>
      <c r="AE284" s="36" t="str">
        <f t="shared" si="3"/>
        <v>Diagnóstico sobre fiscalização de</v>
      </c>
      <c r="AF284" s="36"/>
    </row>
    <row r="285" spans="1:32" ht="90" x14ac:dyDescent="0.35">
      <c r="A285" s="60">
        <v>6</v>
      </c>
      <c r="B285" s="61" t="s">
        <v>1363</v>
      </c>
      <c r="C285" s="92" t="s">
        <v>1386</v>
      </c>
      <c r="D285" s="61" t="s">
        <v>1387</v>
      </c>
      <c r="E285" s="147" t="s">
        <v>838</v>
      </c>
      <c r="F285" s="148" t="s">
        <v>1404</v>
      </c>
      <c r="G285" s="149" t="s">
        <v>1406</v>
      </c>
      <c r="H285" s="150" t="s">
        <v>843</v>
      </c>
      <c r="I285" s="150" t="s">
        <v>537</v>
      </c>
      <c r="J285" s="170" t="s">
        <v>840</v>
      </c>
      <c r="K285" s="150" t="s">
        <v>844</v>
      </c>
      <c r="L285" s="150" t="s">
        <v>845</v>
      </c>
      <c r="M285" s="150" t="s">
        <v>1515</v>
      </c>
      <c r="N285" s="150"/>
      <c r="O285" s="150"/>
      <c r="P285" s="153">
        <v>1</v>
      </c>
      <c r="Q285" s="153">
        <v>1</v>
      </c>
      <c r="R285" s="153"/>
      <c r="S285" s="168"/>
      <c r="T285" s="201"/>
      <c r="U285" s="201"/>
      <c r="V285" s="201"/>
      <c r="W285" s="201"/>
      <c r="X285" s="201"/>
      <c r="Y285" s="201"/>
      <c r="Z285" s="201"/>
      <c r="AA285" s="201"/>
      <c r="AB285" s="201"/>
      <c r="AC285" s="201"/>
      <c r="AD285" s="201"/>
      <c r="AE285" s="42" t="str">
        <f t="shared" si="3"/>
        <v>Elaboração de termo técnico</v>
      </c>
      <c r="AF285" s="42"/>
    </row>
    <row r="286" spans="1:32" ht="90" x14ac:dyDescent="0.35">
      <c r="A286" s="60">
        <v>6</v>
      </c>
      <c r="B286" s="61" t="s">
        <v>1363</v>
      </c>
      <c r="C286" s="92" t="s">
        <v>1386</v>
      </c>
      <c r="D286" s="61" t="s">
        <v>1387</v>
      </c>
      <c r="E286" s="147" t="s">
        <v>838</v>
      </c>
      <c r="F286" s="148" t="s">
        <v>1404</v>
      </c>
      <c r="G286" s="149" t="s">
        <v>1407</v>
      </c>
      <c r="H286" s="150" t="s">
        <v>846</v>
      </c>
      <c r="I286" s="150" t="s">
        <v>537</v>
      </c>
      <c r="J286" s="170" t="s">
        <v>840</v>
      </c>
      <c r="K286" s="150" t="s">
        <v>847</v>
      </c>
      <c r="L286" s="150" t="s">
        <v>848</v>
      </c>
      <c r="M286" s="150" t="s">
        <v>1515</v>
      </c>
      <c r="N286" s="150"/>
      <c r="O286" s="150"/>
      <c r="P286" s="153">
        <v>1</v>
      </c>
      <c r="Q286" s="153">
        <v>1</v>
      </c>
      <c r="R286" s="153"/>
      <c r="S286" s="168"/>
      <c r="T286" s="201"/>
      <c r="U286" s="201"/>
      <c r="V286" s="201"/>
      <c r="W286" s="201"/>
      <c r="X286" s="201"/>
      <c r="Y286" s="201"/>
      <c r="Z286" s="201"/>
      <c r="AA286" s="201"/>
      <c r="AB286" s="201"/>
      <c r="AC286" s="201"/>
      <c r="AD286" s="201"/>
      <c r="AE286" s="36" t="str">
        <f t="shared" si="3"/>
        <v>Elaboração de proposta de</v>
      </c>
      <c r="AF286" s="36"/>
    </row>
    <row r="287" spans="1:32" ht="66" x14ac:dyDescent="0.35">
      <c r="A287" s="60">
        <v>6</v>
      </c>
      <c r="B287" s="61" t="s">
        <v>1363</v>
      </c>
      <c r="C287" s="92" t="s">
        <v>1408</v>
      </c>
      <c r="D287" s="61" t="s">
        <v>1409</v>
      </c>
      <c r="E287" s="147" t="s">
        <v>849</v>
      </c>
      <c r="F287" s="148" t="s">
        <v>1410</v>
      </c>
      <c r="G287" s="149" t="s">
        <v>1411</v>
      </c>
      <c r="H287" s="150" t="s">
        <v>850</v>
      </c>
      <c r="I287" s="150" t="s">
        <v>51</v>
      </c>
      <c r="J287" s="150" t="s">
        <v>646</v>
      </c>
      <c r="K287" s="150" t="s">
        <v>834</v>
      </c>
      <c r="L287" s="150" t="s">
        <v>851</v>
      </c>
      <c r="M287" s="150" t="s">
        <v>1515</v>
      </c>
      <c r="N287" s="150"/>
      <c r="O287" s="150"/>
      <c r="P287" s="153">
        <v>1</v>
      </c>
      <c r="Q287" s="153"/>
      <c r="R287" s="153">
        <v>1</v>
      </c>
      <c r="S287" s="168"/>
      <c r="T287" s="201"/>
      <c r="U287" s="201"/>
      <c r="V287" s="201"/>
      <c r="W287" s="201"/>
      <c r="X287" s="201"/>
      <c r="Y287" s="201"/>
      <c r="Z287" s="201"/>
      <c r="AA287" s="201"/>
      <c r="AB287" s="201"/>
      <c r="AC287" s="201"/>
      <c r="AD287" s="201"/>
      <c r="AE287" s="42" t="str">
        <f t="shared" si="3"/>
        <v>Elaboração de catálogo de</v>
      </c>
      <c r="AF287" s="42"/>
    </row>
    <row r="288" spans="1:32" ht="66" x14ac:dyDescent="0.35">
      <c r="A288" s="60">
        <v>6</v>
      </c>
      <c r="B288" s="61" t="s">
        <v>1363</v>
      </c>
      <c r="C288" s="92" t="s">
        <v>1408</v>
      </c>
      <c r="D288" s="61" t="s">
        <v>1409</v>
      </c>
      <c r="E288" s="147" t="s">
        <v>849</v>
      </c>
      <c r="F288" s="148" t="s">
        <v>1410</v>
      </c>
      <c r="G288" s="149" t="s">
        <v>1412</v>
      </c>
      <c r="H288" s="150" t="s">
        <v>852</v>
      </c>
      <c r="I288" s="150" t="s">
        <v>51</v>
      </c>
      <c r="J288" s="150" t="s">
        <v>646</v>
      </c>
      <c r="K288" s="150" t="s">
        <v>834</v>
      </c>
      <c r="L288" s="150" t="s">
        <v>853</v>
      </c>
      <c r="M288" s="150" t="s">
        <v>1515</v>
      </c>
      <c r="N288" s="150"/>
      <c r="O288" s="150"/>
      <c r="P288" s="153">
        <v>2</v>
      </c>
      <c r="Q288" s="153"/>
      <c r="R288" s="153">
        <v>2</v>
      </c>
      <c r="S288" s="168"/>
      <c r="T288" s="201"/>
      <c r="U288" s="201"/>
      <c r="V288" s="201"/>
      <c r="W288" s="201"/>
      <c r="X288" s="201"/>
      <c r="Y288" s="201"/>
      <c r="Z288" s="201"/>
      <c r="AA288" s="201"/>
      <c r="AB288" s="201"/>
      <c r="AC288" s="201"/>
      <c r="AD288" s="201"/>
      <c r="AE288" s="36" t="str">
        <f t="shared" si="3"/>
        <v>Realização de encontros e</v>
      </c>
      <c r="AF288" s="36"/>
    </row>
    <row r="289" spans="1:32" ht="66" x14ac:dyDescent="0.35">
      <c r="A289" s="60">
        <v>6</v>
      </c>
      <c r="B289" s="61" t="s">
        <v>1363</v>
      </c>
      <c r="C289" s="92" t="s">
        <v>1408</v>
      </c>
      <c r="D289" s="61" t="s">
        <v>1409</v>
      </c>
      <c r="E289" s="147" t="s">
        <v>854</v>
      </c>
      <c r="F289" s="148" t="s">
        <v>855</v>
      </c>
      <c r="G289" s="149" t="s">
        <v>1413</v>
      </c>
      <c r="H289" s="150" t="s">
        <v>1414</v>
      </c>
      <c r="I289" s="150" t="s">
        <v>51</v>
      </c>
      <c r="J289" s="170" t="s">
        <v>856</v>
      </c>
      <c r="K289" s="150" t="s">
        <v>857</v>
      </c>
      <c r="L289" s="150" t="s">
        <v>1415</v>
      </c>
      <c r="M289" s="150" t="s">
        <v>1515</v>
      </c>
      <c r="N289" s="150"/>
      <c r="O289" s="150"/>
      <c r="P289" s="153">
        <v>2</v>
      </c>
      <c r="Q289" s="153"/>
      <c r="R289" s="153">
        <v>2</v>
      </c>
      <c r="S289" s="168"/>
      <c r="T289" s="201"/>
      <c r="U289" s="201"/>
      <c r="V289" s="201"/>
      <c r="W289" s="201"/>
      <c r="X289" s="201"/>
      <c r="Y289" s="201"/>
      <c r="Z289" s="201"/>
      <c r="AA289" s="201"/>
      <c r="AB289" s="201"/>
      <c r="AC289" s="201"/>
      <c r="AD289" s="201"/>
      <c r="AE289" s="42" t="str">
        <f t="shared" si="3"/>
        <v>Formalização de parcerias e</v>
      </c>
      <c r="AF289" s="42"/>
    </row>
    <row r="290" spans="1:32" ht="66" x14ac:dyDescent="0.35">
      <c r="A290" s="60">
        <v>6</v>
      </c>
      <c r="B290" s="61" t="s">
        <v>1363</v>
      </c>
      <c r="C290" s="92" t="s">
        <v>1408</v>
      </c>
      <c r="D290" s="61" t="s">
        <v>1409</v>
      </c>
      <c r="E290" s="147" t="s">
        <v>854</v>
      </c>
      <c r="F290" s="148" t="s">
        <v>855</v>
      </c>
      <c r="G290" s="149" t="s">
        <v>1416</v>
      </c>
      <c r="H290" s="150" t="s">
        <v>858</v>
      </c>
      <c r="I290" s="150" t="s">
        <v>51</v>
      </c>
      <c r="J290" s="150" t="s">
        <v>856</v>
      </c>
      <c r="K290" s="150" t="s">
        <v>859</v>
      </c>
      <c r="L290" s="150" t="s">
        <v>860</v>
      </c>
      <c r="M290" s="150" t="s">
        <v>1515</v>
      </c>
      <c r="N290" s="150"/>
      <c r="O290" s="150"/>
      <c r="P290" s="153">
        <v>1</v>
      </c>
      <c r="Q290" s="153"/>
      <c r="R290" s="153">
        <v>1</v>
      </c>
      <c r="S290" s="168"/>
      <c r="T290" s="201"/>
      <c r="U290" s="201"/>
      <c r="V290" s="201"/>
      <c r="W290" s="201"/>
      <c r="X290" s="201"/>
      <c r="Y290" s="201"/>
      <c r="Z290" s="201"/>
      <c r="AA290" s="201"/>
      <c r="AB290" s="201"/>
      <c r="AC290" s="201"/>
      <c r="AD290" s="201"/>
      <c r="AE290" s="36" t="str">
        <f t="shared" si="3"/>
        <v>Elaboração de plano de</v>
      </c>
      <c r="AF290" s="36"/>
    </row>
    <row r="291" spans="1:32" ht="71.25" customHeight="1" x14ac:dyDescent="0.35">
      <c r="A291" s="60">
        <v>6</v>
      </c>
      <c r="B291" s="61" t="s">
        <v>1363</v>
      </c>
      <c r="C291" s="92" t="s">
        <v>1408</v>
      </c>
      <c r="D291" s="61" t="s">
        <v>1409</v>
      </c>
      <c r="E291" s="147" t="s">
        <v>861</v>
      </c>
      <c r="F291" s="148" t="s">
        <v>862</v>
      </c>
      <c r="G291" s="149" t="s">
        <v>1417</v>
      </c>
      <c r="H291" s="150" t="s">
        <v>1420</v>
      </c>
      <c r="I291" s="150" t="s">
        <v>51</v>
      </c>
      <c r="J291" s="150" t="s">
        <v>646</v>
      </c>
      <c r="K291" s="150" t="s">
        <v>863</v>
      </c>
      <c r="L291" s="150" t="s">
        <v>845</v>
      </c>
      <c r="M291" s="150" t="s">
        <v>1515</v>
      </c>
      <c r="N291" s="150"/>
      <c r="O291" s="150"/>
      <c r="P291" s="153">
        <v>1</v>
      </c>
      <c r="Q291" s="153"/>
      <c r="R291" s="153">
        <v>1</v>
      </c>
      <c r="S291" s="168"/>
      <c r="T291" s="201"/>
      <c r="U291" s="201"/>
      <c r="V291" s="201"/>
      <c r="W291" s="201"/>
      <c r="X291" s="201"/>
      <c r="Y291" s="201"/>
      <c r="Z291" s="201"/>
      <c r="AA291" s="201"/>
      <c r="AB291" s="201"/>
      <c r="AC291" s="201"/>
      <c r="AD291" s="201"/>
      <c r="AE291" s="42" t="str">
        <f t="shared" si="3"/>
        <v>Elaboração de termo de</v>
      </c>
      <c r="AF291" s="42"/>
    </row>
    <row r="292" spans="1:32" ht="75" x14ac:dyDescent="0.35">
      <c r="A292" s="60">
        <v>6</v>
      </c>
      <c r="B292" s="61" t="s">
        <v>1363</v>
      </c>
      <c r="C292" s="92" t="s">
        <v>1408</v>
      </c>
      <c r="D292" s="61" t="s">
        <v>1409</v>
      </c>
      <c r="E292" s="147" t="s">
        <v>861</v>
      </c>
      <c r="F292" s="148" t="s">
        <v>862</v>
      </c>
      <c r="G292" s="149" t="s">
        <v>1418</v>
      </c>
      <c r="H292" s="150" t="s">
        <v>864</v>
      </c>
      <c r="I292" s="150" t="s">
        <v>51</v>
      </c>
      <c r="J292" s="150" t="s">
        <v>646</v>
      </c>
      <c r="K292" s="150" t="s">
        <v>863</v>
      </c>
      <c r="L292" s="150" t="s">
        <v>865</v>
      </c>
      <c r="M292" s="150" t="s">
        <v>1515</v>
      </c>
      <c r="N292" s="150"/>
      <c r="O292" s="150"/>
      <c r="P292" s="153">
        <v>1</v>
      </c>
      <c r="Q292" s="153"/>
      <c r="R292" s="153">
        <v>1</v>
      </c>
      <c r="S292" s="168"/>
      <c r="T292" s="201"/>
      <c r="U292" s="201"/>
      <c r="V292" s="201"/>
      <c r="W292" s="201"/>
      <c r="X292" s="201"/>
      <c r="Y292" s="201"/>
      <c r="Z292" s="201"/>
      <c r="AA292" s="201"/>
      <c r="AB292" s="201"/>
      <c r="AC292" s="201"/>
      <c r="AD292" s="201"/>
      <c r="AE292" s="36" t="str">
        <f t="shared" si="3"/>
        <v>Avaliação da estrutura técnica</v>
      </c>
      <c r="AF292" s="36"/>
    </row>
    <row r="293" spans="1:32" ht="75.599999999999994" thickBot="1" x14ac:dyDescent="0.4">
      <c r="A293" s="60">
        <v>6</v>
      </c>
      <c r="B293" s="61" t="s">
        <v>1363</v>
      </c>
      <c r="C293" s="92" t="s">
        <v>1408</v>
      </c>
      <c r="D293" s="61" t="s">
        <v>1409</v>
      </c>
      <c r="E293" s="147" t="s">
        <v>861</v>
      </c>
      <c r="F293" s="148" t="s">
        <v>862</v>
      </c>
      <c r="G293" s="149" t="s">
        <v>1419</v>
      </c>
      <c r="H293" s="148" t="s">
        <v>866</v>
      </c>
      <c r="I293" s="148" t="s">
        <v>51</v>
      </c>
      <c r="J293" s="148" t="s">
        <v>646</v>
      </c>
      <c r="K293" s="148" t="s">
        <v>863</v>
      </c>
      <c r="L293" s="148" t="s">
        <v>867</v>
      </c>
      <c r="M293" s="148" t="s">
        <v>1515</v>
      </c>
      <c r="N293" s="148"/>
      <c r="O293" s="148"/>
      <c r="P293" s="149">
        <v>1</v>
      </c>
      <c r="Q293" s="149"/>
      <c r="R293" s="149">
        <v>1</v>
      </c>
      <c r="S293" s="172"/>
      <c r="T293" s="203"/>
      <c r="U293" s="203"/>
      <c r="V293" s="203"/>
      <c r="W293" s="203"/>
      <c r="X293" s="203"/>
      <c r="Y293" s="203"/>
      <c r="Z293" s="203"/>
      <c r="AA293" s="203"/>
      <c r="AB293" s="203"/>
      <c r="AC293" s="203"/>
      <c r="AD293" s="203"/>
      <c r="AE293" s="39" t="str">
        <f t="shared" si="3"/>
        <v>Implementação dos sistemas digitais</v>
      </c>
      <c r="AF293" s="39"/>
    </row>
    <row r="294" spans="1:32" ht="75.599999999999994" thickBot="1" x14ac:dyDescent="0.4">
      <c r="A294" s="60">
        <v>7</v>
      </c>
      <c r="B294" s="61" t="s">
        <v>1421</v>
      </c>
      <c r="C294" s="92" t="s">
        <v>1422</v>
      </c>
      <c r="D294" s="61" t="s">
        <v>1423</v>
      </c>
      <c r="E294" s="161" t="s">
        <v>868</v>
      </c>
      <c r="F294" s="162" t="s">
        <v>869</v>
      </c>
      <c r="G294" s="163" t="s">
        <v>1426</v>
      </c>
      <c r="H294" s="164" t="s">
        <v>870</v>
      </c>
      <c r="I294" s="164" t="s">
        <v>51</v>
      </c>
      <c r="J294" s="173" t="s">
        <v>646</v>
      </c>
      <c r="K294" s="164" t="s">
        <v>871</v>
      </c>
      <c r="L294" s="164" t="s">
        <v>464</v>
      </c>
      <c r="M294" s="164" t="s">
        <v>1515</v>
      </c>
      <c r="N294" s="164"/>
      <c r="O294" s="164"/>
      <c r="P294" s="166">
        <v>1</v>
      </c>
      <c r="Q294" s="166">
        <v>1</v>
      </c>
      <c r="R294" s="166"/>
      <c r="S294" s="167"/>
      <c r="T294" s="200"/>
      <c r="U294" s="200"/>
      <c r="V294" s="200"/>
      <c r="W294" s="200"/>
      <c r="X294" s="200"/>
      <c r="Y294" s="200"/>
      <c r="Z294" s="200"/>
      <c r="AA294" s="200"/>
      <c r="AB294" s="200"/>
      <c r="AC294" s="200"/>
      <c r="AD294" s="200"/>
      <c r="AE294" s="43" t="str">
        <f t="shared" si="3"/>
        <v>Elaboração de manual de</v>
      </c>
      <c r="AF294" s="43"/>
    </row>
    <row r="295" spans="1:32" ht="75.599999999999994" thickBot="1" x14ac:dyDescent="0.4">
      <c r="A295" s="60">
        <v>7</v>
      </c>
      <c r="B295" s="61" t="s">
        <v>1421</v>
      </c>
      <c r="C295" s="92" t="s">
        <v>1422</v>
      </c>
      <c r="D295" s="61" t="s">
        <v>1423</v>
      </c>
      <c r="E295" s="161" t="s">
        <v>868</v>
      </c>
      <c r="F295" s="162" t="s">
        <v>869</v>
      </c>
      <c r="G295" s="163" t="s">
        <v>1427</v>
      </c>
      <c r="H295" s="150" t="s">
        <v>872</v>
      </c>
      <c r="I295" s="150" t="s">
        <v>51</v>
      </c>
      <c r="J295" s="151" t="s">
        <v>70</v>
      </c>
      <c r="K295" s="150" t="s">
        <v>873</v>
      </c>
      <c r="L295" s="150" t="s">
        <v>874</v>
      </c>
      <c r="M295" s="150" t="s">
        <v>1515</v>
      </c>
      <c r="N295" s="150"/>
      <c r="O295" s="150"/>
      <c r="P295" s="153">
        <v>6</v>
      </c>
      <c r="Q295" s="153">
        <v>3</v>
      </c>
      <c r="R295" s="153">
        <v>3</v>
      </c>
      <c r="S295" s="168"/>
      <c r="T295" s="201"/>
      <c r="U295" s="201"/>
      <c r="V295" s="201"/>
      <c r="W295" s="201"/>
      <c r="X295" s="201"/>
      <c r="Y295" s="201"/>
      <c r="Z295" s="201"/>
      <c r="AA295" s="201"/>
      <c r="AB295" s="201"/>
      <c r="AC295" s="201"/>
      <c r="AD295" s="201"/>
      <c r="AE295" s="42" t="str">
        <f t="shared" si="3"/>
        <v>Capacitação do manual de</v>
      </c>
      <c r="AF295" s="42"/>
    </row>
    <row r="296" spans="1:32" ht="75.599999999999994" thickBot="1" x14ac:dyDescent="0.4">
      <c r="A296" s="60">
        <v>7</v>
      </c>
      <c r="B296" s="61" t="s">
        <v>1421</v>
      </c>
      <c r="C296" s="92" t="s">
        <v>1422</v>
      </c>
      <c r="D296" s="61" t="s">
        <v>1423</v>
      </c>
      <c r="E296" s="161" t="s">
        <v>868</v>
      </c>
      <c r="F296" s="162" t="s">
        <v>869</v>
      </c>
      <c r="G296" s="163" t="s">
        <v>1428</v>
      </c>
      <c r="H296" s="150" t="s">
        <v>875</v>
      </c>
      <c r="I296" s="150" t="s">
        <v>42</v>
      </c>
      <c r="J296" s="150" t="s">
        <v>47</v>
      </c>
      <c r="K296" s="150" t="s">
        <v>871</v>
      </c>
      <c r="L296" s="150" t="s">
        <v>876</v>
      </c>
      <c r="M296" s="150" t="s">
        <v>1515</v>
      </c>
      <c r="N296" s="150"/>
      <c r="O296" s="150"/>
      <c r="P296" s="153">
        <v>1</v>
      </c>
      <c r="Q296" s="153">
        <v>1</v>
      </c>
      <c r="R296" s="153"/>
      <c r="S296" s="168"/>
      <c r="T296" s="201"/>
      <c r="U296" s="201"/>
      <c r="V296" s="201"/>
      <c r="W296" s="201"/>
      <c r="X296" s="201"/>
      <c r="Y296" s="201"/>
      <c r="Z296" s="201"/>
      <c r="AA296" s="201"/>
      <c r="AB296" s="201"/>
      <c r="AC296" s="201"/>
      <c r="AD296" s="201"/>
      <c r="AE296" s="36" t="str">
        <f t="shared" si="3"/>
        <v>Edição de portaria administrativa</v>
      </c>
      <c r="AF296" s="36"/>
    </row>
    <row r="297" spans="1:32" ht="75.599999999999994" thickBot="1" x14ac:dyDescent="0.4">
      <c r="A297" s="60">
        <v>7</v>
      </c>
      <c r="B297" s="61" t="s">
        <v>1421</v>
      </c>
      <c r="C297" s="92" t="s">
        <v>1422</v>
      </c>
      <c r="D297" s="61" t="s">
        <v>1423</v>
      </c>
      <c r="E297" s="161" t="s">
        <v>868</v>
      </c>
      <c r="F297" s="162" t="s">
        <v>869</v>
      </c>
      <c r="G297" s="163" t="s">
        <v>1429</v>
      </c>
      <c r="H297" s="150" t="s">
        <v>877</v>
      </c>
      <c r="I297" s="150" t="s">
        <v>51</v>
      </c>
      <c r="J297" s="151" t="s">
        <v>646</v>
      </c>
      <c r="K297" s="150" t="s">
        <v>878</v>
      </c>
      <c r="L297" s="150" t="s">
        <v>879</v>
      </c>
      <c r="M297" s="150" t="s">
        <v>1515</v>
      </c>
      <c r="N297" s="150"/>
      <c r="O297" s="150"/>
      <c r="P297" s="155">
        <v>0.75</v>
      </c>
      <c r="Q297" s="155">
        <v>0.3</v>
      </c>
      <c r="R297" s="155">
        <v>0.5</v>
      </c>
      <c r="S297" s="171">
        <v>0.75</v>
      </c>
      <c r="T297" s="202"/>
      <c r="U297" s="202"/>
      <c r="V297" s="202"/>
      <c r="W297" s="202"/>
      <c r="X297" s="202"/>
      <c r="Y297" s="202"/>
      <c r="Z297" s="202"/>
      <c r="AA297" s="202"/>
      <c r="AB297" s="202"/>
      <c r="AC297" s="202"/>
      <c r="AD297" s="202"/>
      <c r="AE297" s="42" t="str">
        <f t="shared" si="3"/>
        <v>Fiscalização sistemática do cumprimento</v>
      </c>
      <c r="AF297" s="42"/>
    </row>
    <row r="298" spans="1:32" ht="75.599999999999994" thickBot="1" x14ac:dyDescent="0.4">
      <c r="A298" s="60">
        <v>7</v>
      </c>
      <c r="B298" s="61" t="s">
        <v>1421</v>
      </c>
      <c r="C298" s="92" t="s">
        <v>1422</v>
      </c>
      <c r="D298" s="61" t="s">
        <v>1423</v>
      </c>
      <c r="E298" s="161" t="s">
        <v>868</v>
      </c>
      <c r="F298" s="162" t="s">
        <v>869</v>
      </c>
      <c r="G298" s="163" t="s">
        <v>1430</v>
      </c>
      <c r="H298" s="148" t="s">
        <v>880</v>
      </c>
      <c r="I298" s="148" t="s">
        <v>51</v>
      </c>
      <c r="J298" s="148" t="s">
        <v>70</v>
      </c>
      <c r="K298" s="148" t="s">
        <v>881</v>
      </c>
      <c r="L298" s="150" t="s">
        <v>882</v>
      </c>
      <c r="M298" s="150" t="s">
        <v>1515</v>
      </c>
      <c r="N298" s="150"/>
      <c r="O298" s="150"/>
      <c r="P298" s="153">
        <v>10</v>
      </c>
      <c r="Q298" s="153"/>
      <c r="R298" s="153">
        <v>10</v>
      </c>
      <c r="S298" s="168"/>
      <c r="T298" s="201"/>
      <c r="U298" s="201"/>
      <c r="V298" s="201"/>
      <c r="W298" s="201"/>
      <c r="X298" s="201"/>
      <c r="Y298" s="201"/>
      <c r="Z298" s="201"/>
      <c r="AA298" s="201"/>
      <c r="AB298" s="201"/>
      <c r="AC298" s="201"/>
      <c r="AD298" s="201"/>
      <c r="AE298" s="36" t="str">
        <f t="shared" si="3"/>
        <v>Estabelecimento de parcerias para</v>
      </c>
      <c r="AF298" s="36"/>
    </row>
    <row r="299" spans="1:32" ht="75" x14ac:dyDescent="0.35">
      <c r="A299" s="60">
        <v>7</v>
      </c>
      <c r="B299" s="61" t="s">
        <v>1421</v>
      </c>
      <c r="C299" s="92" t="s">
        <v>1422</v>
      </c>
      <c r="D299" s="61" t="s">
        <v>1423</v>
      </c>
      <c r="E299" s="161" t="s">
        <v>868</v>
      </c>
      <c r="F299" s="162" t="s">
        <v>869</v>
      </c>
      <c r="G299" s="163" t="s">
        <v>1430</v>
      </c>
      <c r="H299" s="148" t="s">
        <v>880</v>
      </c>
      <c r="I299" s="148" t="s">
        <v>51</v>
      </c>
      <c r="J299" s="148" t="s">
        <v>70</v>
      </c>
      <c r="K299" s="148" t="s">
        <v>881</v>
      </c>
      <c r="L299" s="150" t="s">
        <v>1431</v>
      </c>
      <c r="M299" s="150" t="s">
        <v>1515</v>
      </c>
      <c r="N299" s="150"/>
      <c r="O299" s="150"/>
      <c r="P299" s="155">
        <v>1</v>
      </c>
      <c r="Q299" s="153"/>
      <c r="R299" s="153"/>
      <c r="S299" s="171">
        <v>1</v>
      </c>
      <c r="T299" s="202"/>
      <c r="U299" s="202"/>
      <c r="V299" s="202"/>
      <c r="W299" s="202"/>
      <c r="X299" s="202"/>
      <c r="Y299" s="202"/>
      <c r="Z299" s="202"/>
      <c r="AA299" s="202"/>
      <c r="AB299" s="202"/>
      <c r="AC299" s="202"/>
      <c r="AD299" s="202"/>
      <c r="AE299" s="42" t="str">
        <f t="shared" si="3"/>
        <v>Estabelecimento de parcerias para</v>
      </c>
      <c r="AF299" s="42"/>
    </row>
    <row r="300" spans="1:32" ht="75" x14ac:dyDescent="0.35">
      <c r="A300" s="60">
        <v>7</v>
      </c>
      <c r="B300" s="61" t="s">
        <v>1421</v>
      </c>
      <c r="C300" s="92" t="s">
        <v>1422</v>
      </c>
      <c r="D300" s="61" t="s">
        <v>1423</v>
      </c>
      <c r="E300" s="147" t="s">
        <v>883</v>
      </c>
      <c r="F300" s="148" t="s">
        <v>884</v>
      </c>
      <c r="G300" s="149" t="s">
        <v>1432</v>
      </c>
      <c r="H300" s="150" t="s">
        <v>885</v>
      </c>
      <c r="I300" s="150" t="s">
        <v>42</v>
      </c>
      <c r="J300" s="150" t="s">
        <v>47</v>
      </c>
      <c r="K300" s="150" t="s">
        <v>871</v>
      </c>
      <c r="L300" s="150" t="s">
        <v>886</v>
      </c>
      <c r="M300" s="150" t="s">
        <v>1515</v>
      </c>
      <c r="N300" s="150"/>
      <c r="O300" s="150"/>
      <c r="P300" s="153">
        <v>1</v>
      </c>
      <c r="Q300" s="153">
        <v>1</v>
      </c>
      <c r="R300" s="153"/>
      <c r="S300" s="168"/>
      <c r="T300" s="201"/>
      <c r="U300" s="201"/>
      <c r="V300" s="201"/>
      <c r="W300" s="201"/>
      <c r="X300" s="201"/>
      <c r="Y300" s="201"/>
      <c r="Z300" s="201"/>
      <c r="AA300" s="201"/>
      <c r="AB300" s="201"/>
      <c r="AC300" s="201"/>
      <c r="AD300" s="201"/>
      <c r="AE300" s="36" t="str">
        <f t="shared" si="3"/>
        <v>Elaboração de procedimento estadual</v>
      </c>
      <c r="AF300" s="36"/>
    </row>
    <row r="301" spans="1:32" ht="60" x14ac:dyDescent="0.35">
      <c r="A301" s="60">
        <v>7</v>
      </c>
      <c r="B301" s="61" t="s">
        <v>1421</v>
      </c>
      <c r="C301" s="92" t="s">
        <v>1422</v>
      </c>
      <c r="D301" s="61" t="s">
        <v>1423</v>
      </c>
      <c r="E301" s="147" t="s">
        <v>883</v>
      </c>
      <c r="F301" s="148" t="s">
        <v>884</v>
      </c>
      <c r="G301" s="149" t="s">
        <v>1433</v>
      </c>
      <c r="H301" s="150" t="s">
        <v>887</v>
      </c>
      <c r="I301" s="150" t="s">
        <v>42</v>
      </c>
      <c r="J301" s="150" t="s">
        <v>47</v>
      </c>
      <c r="K301" s="150" t="s">
        <v>871</v>
      </c>
      <c r="L301" s="150" t="s">
        <v>876</v>
      </c>
      <c r="M301" s="150" t="s">
        <v>1515</v>
      </c>
      <c r="N301" s="150"/>
      <c r="O301" s="150"/>
      <c r="P301" s="153">
        <v>1</v>
      </c>
      <c r="Q301" s="153">
        <v>1</v>
      </c>
      <c r="R301" s="153"/>
      <c r="S301" s="168"/>
      <c r="T301" s="201"/>
      <c r="U301" s="201"/>
      <c r="V301" s="201"/>
      <c r="W301" s="201"/>
      <c r="X301" s="201"/>
      <c r="Y301" s="201"/>
      <c r="Z301" s="201"/>
      <c r="AA301" s="201"/>
      <c r="AB301" s="201"/>
      <c r="AC301" s="201"/>
      <c r="AD301" s="201"/>
      <c r="AE301" s="42" t="str">
        <f t="shared" si="3"/>
        <v>Edição de portaria com</v>
      </c>
      <c r="AF301" s="42"/>
    </row>
    <row r="302" spans="1:32" ht="60" x14ac:dyDescent="0.35">
      <c r="A302" s="60">
        <v>7</v>
      </c>
      <c r="B302" s="61" t="s">
        <v>1421</v>
      </c>
      <c r="C302" s="92" t="s">
        <v>1422</v>
      </c>
      <c r="D302" s="61" t="s">
        <v>1423</v>
      </c>
      <c r="E302" s="147" t="s">
        <v>883</v>
      </c>
      <c r="F302" s="148" t="s">
        <v>884</v>
      </c>
      <c r="G302" s="149" t="s">
        <v>1434</v>
      </c>
      <c r="H302" s="150" t="s">
        <v>888</v>
      </c>
      <c r="I302" s="150" t="s">
        <v>51</v>
      </c>
      <c r="J302" s="150" t="s">
        <v>783</v>
      </c>
      <c r="K302" s="150" t="s">
        <v>889</v>
      </c>
      <c r="L302" s="150" t="s">
        <v>890</v>
      </c>
      <c r="M302" s="150" t="s">
        <v>1515</v>
      </c>
      <c r="N302" s="150"/>
      <c r="O302" s="150"/>
      <c r="P302" s="153">
        <v>1</v>
      </c>
      <c r="Q302" s="153">
        <v>1</v>
      </c>
      <c r="R302" s="153"/>
      <c r="S302" s="168"/>
      <c r="T302" s="201"/>
      <c r="U302" s="201"/>
      <c r="V302" s="201"/>
      <c r="W302" s="201"/>
      <c r="X302" s="201"/>
      <c r="Y302" s="201"/>
      <c r="Z302" s="201"/>
      <c r="AA302" s="201"/>
      <c r="AB302" s="201"/>
      <c r="AC302" s="201"/>
      <c r="AD302" s="201"/>
      <c r="AE302" s="36" t="str">
        <f t="shared" si="3"/>
        <v>Elaboração de diagnóstico sobre</v>
      </c>
      <c r="AF302" s="36"/>
    </row>
    <row r="303" spans="1:32" ht="60" x14ac:dyDescent="0.35">
      <c r="A303" s="60">
        <v>7</v>
      </c>
      <c r="B303" s="61" t="s">
        <v>1421</v>
      </c>
      <c r="C303" s="92" t="s">
        <v>1422</v>
      </c>
      <c r="D303" s="61" t="s">
        <v>1423</v>
      </c>
      <c r="E303" s="147" t="s">
        <v>883</v>
      </c>
      <c r="F303" s="148" t="s">
        <v>884</v>
      </c>
      <c r="G303" s="149" t="s">
        <v>1435</v>
      </c>
      <c r="H303" s="148" t="s">
        <v>891</v>
      </c>
      <c r="I303" s="148" t="s">
        <v>51</v>
      </c>
      <c r="J303" s="148" t="s">
        <v>783</v>
      </c>
      <c r="K303" s="148" t="s">
        <v>51</v>
      </c>
      <c r="L303" s="150" t="s">
        <v>892</v>
      </c>
      <c r="M303" s="150" t="s">
        <v>1515</v>
      </c>
      <c r="N303" s="150"/>
      <c r="O303" s="150"/>
      <c r="P303" s="155">
        <v>1</v>
      </c>
      <c r="Q303" s="155">
        <v>1</v>
      </c>
      <c r="R303" s="153"/>
      <c r="S303" s="168"/>
      <c r="T303" s="201"/>
      <c r="U303" s="201"/>
      <c r="V303" s="201"/>
      <c r="W303" s="201"/>
      <c r="X303" s="201"/>
      <c r="Y303" s="201"/>
      <c r="Z303" s="201"/>
      <c r="AA303" s="201"/>
      <c r="AB303" s="201"/>
      <c r="AC303" s="201"/>
      <c r="AD303" s="201"/>
      <c r="AE303" s="42" t="str">
        <f t="shared" si="3"/>
        <v>Realização de vistorias periódicas</v>
      </c>
      <c r="AF303" s="42"/>
    </row>
    <row r="304" spans="1:32" ht="60" x14ac:dyDescent="0.35">
      <c r="A304" s="60">
        <v>7</v>
      </c>
      <c r="B304" s="61" t="s">
        <v>1421</v>
      </c>
      <c r="C304" s="92" t="s">
        <v>1422</v>
      </c>
      <c r="D304" s="61" t="s">
        <v>1423</v>
      </c>
      <c r="E304" s="147" t="s">
        <v>883</v>
      </c>
      <c r="F304" s="148" t="s">
        <v>884</v>
      </c>
      <c r="G304" s="149" t="s">
        <v>1435</v>
      </c>
      <c r="H304" s="148" t="s">
        <v>891</v>
      </c>
      <c r="I304" s="148" t="s">
        <v>51</v>
      </c>
      <c r="J304" s="148" t="s">
        <v>783</v>
      </c>
      <c r="K304" s="148" t="s">
        <v>51</v>
      </c>
      <c r="L304" s="150" t="s">
        <v>893</v>
      </c>
      <c r="M304" s="150" t="s">
        <v>1515</v>
      </c>
      <c r="N304" s="150"/>
      <c r="O304" s="150"/>
      <c r="P304" s="155">
        <v>0.7</v>
      </c>
      <c r="Q304" s="153"/>
      <c r="R304" s="155">
        <v>0.7</v>
      </c>
      <c r="S304" s="168"/>
      <c r="T304" s="201"/>
      <c r="U304" s="201"/>
      <c r="V304" s="201"/>
      <c r="W304" s="201"/>
      <c r="X304" s="201"/>
      <c r="Y304" s="201"/>
      <c r="Z304" s="201"/>
      <c r="AA304" s="201"/>
      <c r="AB304" s="201"/>
      <c r="AC304" s="201"/>
      <c r="AD304" s="201"/>
      <c r="AE304" s="42" t="str">
        <f t="shared" si="3"/>
        <v>Realização de vistorias periódicas</v>
      </c>
      <c r="AF304" s="42"/>
    </row>
    <row r="305" spans="1:32" ht="60" x14ac:dyDescent="0.35">
      <c r="A305" s="60">
        <v>7</v>
      </c>
      <c r="B305" s="61" t="s">
        <v>1421</v>
      </c>
      <c r="C305" s="92" t="s">
        <v>1422</v>
      </c>
      <c r="D305" s="61" t="s">
        <v>1423</v>
      </c>
      <c r="E305" s="147" t="s">
        <v>894</v>
      </c>
      <c r="F305" s="148" t="s">
        <v>895</v>
      </c>
      <c r="G305" s="149" t="s">
        <v>1436</v>
      </c>
      <c r="H305" s="150" t="s">
        <v>896</v>
      </c>
      <c r="I305" s="150" t="s">
        <v>51</v>
      </c>
      <c r="J305" s="150" t="s">
        <v>783</v>
      </c>
      <c r="K305" s="150" t="s">
        <v>897</v>
      </c>
      <c r="L305" s="150" t="s">
        <v>825</v>
      </c>
      <c r="M305" s="150" t="s">
        <v>1515</v>
      </c>
      <c r="N305" s="150"/>
      <c r="O305" s="150"/>
      <c r="P305" s="153">
        <v>1</v>
      </c>
      <c r="Q305" s="153">
        <v>1</v>
      </c>
      <c r="R305" s="153"/>
      <c r="S305" s="168"/>
      <c r="T305" s="201"/>
      <c r="U305" s="201"/>
      <c r="V305" s="201"/>
      <c r="W305" s="201"/>
      <c r="X305" s="201"/>
      <c r="Y305" s="201"/>
      <c r="Z305" s="201"/>
      <c r="AA305" s="201"/>
      <c r="AB305" s="201"/>
      <c r="AC305" s="201"/>
      <c r="AD305" s="201"/>
      <c r="AE305" s="42" t="str">
        <f t="shared" si="3"/>
        <v>Elaboração de estudo para</v>
      </c>
      <c r="AF305" s="42"/>
    </row>
    <row r="306" spans="1:32" ht="60" x14ac:dyDescent="0.35">
      <c r="A306" s="60">
        <v>7</v>
      </c>
      <c r="B306" s="61" t="s">
        <v>1421</v>
      </c>
      <c r="C306" s="92" t="s">
        <v>1422</v>
      </c>
      <c r="D306" s="61" t="s">
        <v>1423</v>
      </c>
      <c r="E306" s="147" t="s">
        <v>894</v>
      </c>
      <c r="F306" s="148" t="s">
        <v>895</v>
      </c>
      <c r="G306" s="149" t="s">
        <v>1437</v>
      </c>
      <c r="H306" s="150" t="s">
        <v>898</v>
      </c>
      <c r="I306" s="150" t="s">
        <v>51</v>
      </c>
      <c r="J306" s="150" t="s">
        <v>783</v>
      </c>
      <c r="K306" s="150" t="s">
        <v>897</v>
      </c>
      <c r="L306" s="150" t="s">
        <v>899</v>
      </c>
      <c r="M306" s="150" t="s">
        <v>1515</v>
      </c>
      <c r="N306" s="150"/>
      <c r="O306" s="150"/>
      <c r="P306" s="153">
        <v>1</v>
      </c>
      <c r="Q306" s="153">
        <v>1</v>
      </c>
      <c r="R306" s="153"/>
      <c r="S306" s="168"/>
      <c r="T306" s="201"/>
      <c r="U306" s="201"/>
      <c r="V306" s="201"/>
      <c r="W306" s="201"/>
      <c r="X306" s="201"/>
      <c r="Y306" s="201"/>
      <c r="Z306" s="201"/>
      <c r="AA306" s="201"/>
      <c r="AB306" s="201"/>
      <c r="AC306" s="201"/>
      <c r="AD306" s="201"/>
      <c r="AE306" s="36" t="str">
        <f t="shared" si="3"/>
        <v>Edição de normativa para</v>
      </c>
      <c r="AF306" s="36"/>
    </row>
    <row r="307" spans="1:32" ht="60" x14ac:dyDescent="0.35">
      <c r="A307" s="60">
        <v>7</v>
      </c>
      <c r="B307" s="61" t="s">
        <v>1421</v>
      </c>
      <c r="C307" s="92" t="s">
        <v>1422</v>
      </c>
      <c r="D307" s="61" t="s">
        <v>1423</v>
      </c>
      <c r="E307" s="147" t="s">
        <v>894</v>
      </c>
      <c r="F307" s="148" t="s">
        <v>895</v>
      </c>
      <c r="G307" s="149" t="s">
        <v>1438</v>
      </c>
      <c r="H307" s="150" t="s">
        <v>900</v>
      </c>
      <c r="I307" s="150" t="s">
        <v>51</v>
      </c>
      <c r="J307" s="150" t="s">
        <v>747</v>
      </c>
      <c r="K307" s="150" t="s">
        <v>897</v>
      </c>
      <c r="L307" s="150" t="s">
        <v>334</v>
      </c>
      <c r="M307" s="150" t="s">
        <v>1515</v>
      </c>
      <c r="N307" s="150"/>
      <c r="O307" s="150"/>
      <c r="P307" s="153">
        <v>1</v>
      </c>
      <c r="Q307" s="153"/>
      <c r="R307" s="153">
        <v>1</v>
      </c>
      <c r="S307" s="168"/>
      <c r="T307" s="201"/>
      <c r="U307" s="201"/>
      <c r="V307" s="201"/>
      <c r="W307" s="201"/>
      <c r="X307" s="201"/>
      <c r="Y307" s="201"/>
      <c r="Z307" s="201"/>
      <c r="AA307" s="201"/>
      <c r="AB307" s="201"/>
      <c r="AC307" s="201"/>
      <c r="AD307" s="201"/>
      <c r="AE307" s="42" t="str">
        <f t="shared" si="3"/>
        <v>Criação de sistema de</v>
      </c>
      <c r="AF307" s="42"/>
    </row>
    <row r="308" spans="1:32" ht="60" x14ac:dyDescent="0.35">
      <c r="A308" s="60">
        <v>7</v>
      </c>
      <c r="B308" s="61" t="s">
        <v>1421</v>
      </c>
      <c r="C308" s="92" t="s">
        <v>1422</v>
      </c>
      <c r="D308" s="61" t="s">
        <v>1423</v>
      </c>
      <c r="E308" s="147" t="s">
        <v>901</v>
      </c>
      <c r="F308" s="148" t="s">
        <v>902</v>
      </c>
      <c r="G308" s="149" t="s">
        <v>1439</v>
      </c>
      <c r="H308" s="150" t="s">
        <v>903</v>
      </c>
      <c r="I308" s="150" t="s">
        <v>51</v>
      </c>
      <c r="J308" s="150" t="s">
        <v>783</v>
      </c>
      <c r="K308" s="150" t="s">
        <v>904</v>
      </c>
      <c r="L308" s="150" t="s">
        <v>905</v>
      </c>
      <c r="M308" s="150" t="s">
        <v>1515</v>
      </c>
      <c r="N308" s="150"/>
      <c r="O308" s="150"/>
      <c r="P308" s="153">
        <v>1</v>
      </c>
      <c r="Q308" s="153"/>
      <c r="R308" s="153">
        <v>1</v>
      </c>
      <c r="S308" s="168"/>
      <c r="T308" s="201"/>
      <c r="U308" s="201"/>
      <c r="V308" s="201"/>
      <c r="W308" s="201"/>
      <c r="X308" s="201"/>
      <c r="Y308" s="201"/>
      <c r="Z308" s="201"/>
      <c r="AA308" s="201"/>
      <c r="AB308" s="201"/>
      <c r="AC308" s="201"/>
      <c r="AD308" s="201"/>
      <c r="AE308" s="36" t="str">
        <f t="shared" si="3"/>
        <v>Elaboração de estudo piloto</v>
      </c>
      <c r="AF308" s="36"/>
    </row>
    <row r="309" spans="1:32" ht="52.8" x14ac:dyDescent="0.35">
      <c r="A309" s="60">
        <v>7</v>
      </c>
      <c r="B309" s="61" t="s">
        <v>1421</v>
      </c>
      <c r="C309" s="92" t="s">
        <v>1422</v>
      </c>
      <c r="D309" s="61" t="s">
        <v>1423</v>
      </c>
      <c r="E309" s="147" t="s">
        <v>901</v>
      </c>
      <c r="F309" s="148" t="s">
        <v>902</v>
      </c>
      <c r="G309" s="149" t="s">
        <v>1440</v>
      </c>
      <c r="H309" s="150" t="s">
        <v>906</v>
      </c>
      <c r="I309" s="150" t="s">
        <v>51</v>
      </c>
      <c r="J309" s="150" t="s">
        <v>783</v>
      </c>
      <c r="K309" s="150" t="s">
        <v>907</v>
      </c>
      <c r="L309" s="150" t="s">
        <v>905</v>
      </c>
      <c r="M309" s="150" t="s">
        <v>1515</v>
      </c>
      <c r="N309" s="150"/>
      <c r="O309" s="150"/>
      <c r="P309" s="153">
        <v>1</v>
      </c>
      <c r="Q309" s="153"/>
      <c r="R309" s="153"/>
      <c r="S309" s="168">
        <v>1</v>
      </c>
      <c r="T309" s="201"/>
      <c r="U309" s="201"/>
      <c r="V309" s="201"/>
      <c r="W309" s="201"/>
      <c r="X309" s="201"/>
      <c r="Y309" s="201"/>
      <c r="Z309" s="201"/>
      <c r="AA309" s="201"/>
      <c r="AB309" s="201"/>
      <c r="AC309" s="201"/>
      <c r="AD309" s="201"/>
      <c r="AE309" s="42" t="str">
        <f t="shared" si="3"/>
        <v>Elaboração de estudo sobre</v>
      </c>
      <c r="AF309" s="42"/>
    </row>
    <row r="310" spans="1:32" ht="75" x14ac:dyDescent="0.35">
      <c r="A310" s="60">
        <v>7</v>
      </c>
      <c r="B310" s="61" t="s">
        <v>1421</v>
      </c>
      <c r="C310" s="92" t="s">
        <v>1422</v>
      </c>
      <c r="D310" s="61" t="s">
        <v>1423</v>
      </c>
      <c r="E310" s="147" t="s">
        <v>908</v>
      </c>
      <c r="F310" s="148" t="s">
        <v>909</v>
      </c>
      <c r="G310" s="149" t="s">
        <v>1441</v>
      </c>
      <c r="H310" s="150" t="s">
        <v>910</v>
      </c>
      <c r="I310" s="150" t="s">
        <v>86</v>
      </c>
      <c r="J310" s="150" t="s">
        <v>87</v>
      </c>
      <c r="K310" s="150" t="s">
        <v>911</v>
      </c>
      <c r="L310" s="150" t="s">
        <v>912</v>
      </c>
      <c r="M310" s="69" t="s">
        <v>1516</v>
      </c>
      <c r="N310" s="150"/>
      <c r="O310" s="150"/>
      <c r="P310" s="153">
        <v>1</v>
      </c>
      <c r="Q310" s="153"/>
      <c r="R310" s="153">
        <v>1</v>
      </c>
      <c r="S310" s="168"/>
      <c r="T310" s="201"/>
      <c r="U310" s="201"/>
      <c r="V310" s="201"/>
      <c r="W310" s="201"/>
      <c r="X310" s="201"/>
      <c r="Y310" s="201"/>
      <c r="Z310" s="201"/>
      <c r="AA310" s="201"/>
      <c r="AB310" s="201"/>
      <c r="AC310" s="201"/>
      <c r="AD310" s="201"/>
      <c r="AE310" s="36" t="str">
        <f t="shared" si="3"/>
        <v>Edição de norma estadual</v>
      </c>
      <c r="AF310" s="36"/>
    </row>
    <row r="311" spans="1:32" ht="52.8" x14ac:dyDescent="0.35">
      <c r="A311" s="60">
        <v>7</v>
      </c>
      <c r="B311" s="61" t="s">
        <v>1421</v>
      </c>
      <c r="C311" s="92" t="s">
        <v>1422</v>
      </c>
      <c r="D311" s="61" t="s">
        <v>1423</v>
      </c>
      <c r="E311" s="147" t="s">
        <v>908</v>
      </c>
      <c r="F311" s="148" t="s">
        <v>909</v>
      </c>
      <c r="G311" s="149" t="s">
        <v>1442</v>
      </c>
      <c r="H311" s="150" t="s">
        <v>913</v>
      </c>
      <c r="I311" s="150" t="s">
        <v>51</v>
      </c>
      <c r="J311" s="150" t="s">
        <v>783</v>
      </c>
      <c r="K311" s="150" t="s">
        <v>911</v>
      </c>
      <c r="L311" s="150" t="s">
        <v>121</v>
      </c>
      <c r="M311" s="69" t="s">
        <v>1516</v>
      </c>
      <c r="N311" s="150"/>
      <c r="O311" s="150"/>
      <c r="P311" s="153">
        <v>1</v>
      </c>
      <c r="Q311" s="153"/>
      <c r="R311" s="153">
        <v>1</v>
      </c>
      <c r="S311" s="168"/>
      <c r="T311" s="201"/>
      <c r="U311" s="201"/>
      <c r="V311" s="201"/>
      <c r="W311" s="201"/>
      <c r="X311" s="201"/>
      <c r="Y311" s="201"/>
      <c r="Z311" s="201"/>
      <c r="AA311" s="201"/>
      <c r="AB311" s="201"/>
      <c r="AC311" s="201"/>
      <c r="AD311" s="201"/>
      <c r="AE311" s="42" t="str">
        <f t="shared" si="3"/>
        <v>Publicação de guia técnico</v>
      </c>
      <c r="AF311" s="42"/>
    </row>
    <row r="312" spans="1:32" ht="75" x14ac:dyDescent="0.35">
      <c r="A312" s="60">
        <v>7</v>
      </c>
      <c r="B312" s="61" t="s">
        <v>1421</v>
      </c>
      <c r="C312" s="92" t="s">
        <v>1422</v>
      </c>
      <c r="D312" s="61" t="s">
        <v>1423</v>
      </c>
      <c r="E312" s="147" t="s">
        <v>914</v>
      </c>
      <c r="F312" s="148" t="s">
        <v>915</v>
      </c>
      <c r="G312" s="149" t="s">
        <v>1443</v>
      </c>
      <c r="H312" s="150" t="s">
        <v>916</v>
      </c>
      <c r="I312" s="150" t="s">
        <v>42</v>
      </c>
      <c r="J312" s="150" t="s">
        <v>47</v>
      </c>
      <c r="K312" s="150" t="s">
        <v>917</v>
      </c>
      <c r="L312" s="150" t="s">
        <v>918</v>
      </c>
      <c r="M312" s="69" t="s">
        <v>1516</v>
      </c>
      <c r="N312" s="150"/>
      <c r="O312" s="150"/>
      <c r="P312" s="153">
        <v>1</v>
      </c>
      <c r="Q312" s="153"/>
      <c r="R312" s="153">
        <v>1</v>
      </c>
      <c r="S312" s="168"/>
      <c r="T312" s="201"/>
      <c r="U312" s="201"/>
      <c r="V312" s="201"/>
      <c r="W312" s="201"/>
      <c r="X312" s="201"/>
      <c r="Y312" s="201"/>
      <c r="Z312" s="201"/>
      <c r="AA312" s="201"/>
      <c r="AB312" s="201"/>
      <c r="AC312" s="201"/>
      <c r="AD312" s="201"/>
      <c r="AE312" s="36" t="str">
        <f t="shared" si="3"/>
        <v>Sugestão de legislação estadual</v>
      </c>
      <c r="AF312" s="36"/>
    </row>
    <row r="313" spans="1:32" ht="75" x14ac:dyDescent="0.35">
      <c r="A313" s="60">
        <v>7</v>
      </c>
      <c r="B313" s="61" t="s">
        <v>1421</v>
      </c>
      <c r="C313" s="92" t="s">
        <v>1422</v>
      </c>
      <c r="D313" s="61" t="s">
        <v>1423</v>
      </c>
      <c r="E313" s="147" t="s">
        <v>914</v>
      </c>
      <c r="F313" s="148" t="s">
        <v>915</v>
      </c>
      <c r="G313" s="149" t="s">
        <v>1444</v>
      </c>
      <c r="H313" s="150" t="s">
        <v>919</v>
      </c>
      <c r="I313" s="150" t="s">
        <v>51</v>
      </c>
      <c r="J313" s="150" t="s">
        <v>920</v>
      </c>
      <c r="K313" s="150" t="s">
        <v>296</v>
      </c>
      <c r="L313" s="150" t="s">
        <v>921</v>
      </c>
      <c r="M313" s="69" t="s">
        <v>1516</v>
      </c>
      <c r="N313" s="150"/>
      <c r="O313" s="150"/>
      <c r="P313" s="153">
        <v>1</v>
      </c>
      <c r="Q313" s="153">
        <v>1</v>
      </c>
      <c r="R313" s="153"/>
      <c r="S313" s="168"/>
      <c r="T313" s="201"/>
      <c r="U313" s="201"/>
      <c r="V313" s="201"/>
      <c r="W313" s="201"/>
      <c r="X313" s="201"/>
      <c r="Y313" s="201"/>
      <c r="Z313" s="201"/>
      <c r="AA313" s="201"/>
      <c r="AB313" s="201"/>
      <c r="AC313" s="201"/>
      <c r="AD313" s="201"/>
      <c r="AE313" s="42" t="str">
        <f t="shared" si="3"/>
        <v>Integração de informações entre</v>
      </c>
      <c r="AF313" s="42"/>
    </row>
    <row r="314" spans="1:32" ht="75" x14ac:dyDescent="0.35">
      <c r="A314" s="60">
        <v>7</v>
      </c>
      <c r="B314" s="61" t="s">
        <v>1421</v>
      </c>
      <c r="C314" s="92" t="s">
        <v>1422</v>
      </c>
      <c r="D314" s="61" t="s">
        <v>1423</v>
      </c>
      <c r="E314" s="147" t="s">
        <v>914</v>
      </c>
      <c r="F314" s="148" t="s">
        <v>915</v>
      </c>
      <c r="G314" s="149" t="s">
        <v>1445</v>
      </c>
      <c r="H314" s="150" t="s">
        <v>922</v>
      </c>
      <c r="I314" s="150" t="s">
        <v>51</v>
      </c>
      <c r="J314" s="150" t="s">
        <v>747</v>
      </c>
      <c r="K314" s="150" t="s">
        <v>889</v>
      </c>
      <c r="L314" s="150" t="s">
        <v>923</v>
      </c>
      <c r="M314" s="69" t="s">
        <v>1516</v>
      </c>
      <c r="N314" s="150"/>
      <c r="O314" s="150"/>
      <c r="P314" s="153">
        <v>1</v>
      </c>
      <c r="Q314" s="153"/>
      <c r="R314" s="153">
        <v>1</v>
      </c>
      <c r="S314" s="168"/>
      <c r="T314" s="201"/>
      <c r="U314" s="201"/>
      <c r="V314" s="201"/>
      <c r="W314" s="201"/>
      <c r="X314" s="201"/>
      <c r="Y314" s="201"/>
      <c r="Z314" s="201"/>
      <c r="AA314" s="201"/>
      <c r="AB314" s="201"/>
      <c r="AC314" s="201"/>
      <c r="AD314" s="201"/>
      <c r="AE314" s="36" t="str">
        <f t="shared" si="3"/>
        <v>Criação de banco de</v>
      </c>
      <c r="AF314" s="36"/>
    </row>
    <row r="315" spans="1:32" ht="57" customHeight="1" x14ac:dyDescent="0.35">
      <c r="A315" s="60">
        <v>7</v>
      </c>
      <c r="B315" s="61" t="s">
        <v>1421</v>
      </c>
      <c r="C315" s="92" t="s">
        <v>1422</v>
      </c>
      <c r="D315" s="61" t="s">
        <v>1423</v>
      </c>
      <c r="E315" s="147" t="s">
        <v>924</v>
      </c>
      <c r="F315" s="148" t="s">
        <v>925</v>
      </c>
      <c r="G315" s="149" t="s">
        <v>1446</v>
      </c>
      <c r="H315" s="150" t="s">
        <v>926</v>
      </c>
      <c r="I315" s="150" t="s">
        <v>51</v>
      </c>
      <c r="J315" s="150" t="s">
        <v>783</v>
      </c>
      <c r="K315" s="150" t="s">
        <v>927</v>
      </c>
      <c r="L315" s="150" t="s">
        <v>905</v>
      </c>
      <c r="M315" s="69" t="s">
        <v>1516</v>
      </c>
      <c r="N315" s="150"/>
      <c r="O315" s="150"/>
      <c r="P315" s="153">
        <v>1</v>
      </c>
      <c r="Q315" s="153"/>
      <c r="R315" s="153">
        <v>1</v>
      </c>
      <c r="S315" s="168"/>
      <c r="T315" s="201"/>
      <c r="U315" s="201"/>
      <c r="V315" s="201"/>
      <c r="W315" s="201"/>
      <c r="X315" s="201"/>
      <c r="Y315" s="201"/>
      <c r="Z315" s="201"/>
      <c r="AA315" s="201"/>
      <c r="AB315" s="201"/>
      <c r="AC315" s="201"/>
      <c r="AD315" s="201"/>
      <c r="AE315" s="42" t="str">
        <f t="shared" si="3"/>
        <v>Elaboração de estudo técnico</v>
      </c>
      <c r="AF315" s="42"/>
    </row>
    <row r="316" spans="1:32" ht="75" x14ac:dyDescent="0.35">
      <c r="A316" s="60">
        <v>7</v>
      </c>
      <c r="B316" s="61" t="s">
        <v>1421</v>
      </c>
      <c r="C316" s="92" t="s">
        <v>1422</v>
      </c>
      <c r="D316" s="61" t="s">
        <v>1423</v>
      </c>
      <c r="E316" s="147" t="s">
        <v>924</v>
      </c>
      <c r="F316" s="148" t="s">
        <v>925</v>
      </c>
      <c r="G316" s="149" t="s">
        <v>1447</v>
      </c>
      <c r="H316" s="150" t="s">
        <v>928</v>
      </c>
      <c r="I316" s="150" t="s">
        <v>51</v>
      </c>
      <c r="J316" s="150" t="s">
        <v>783</v>
      </c>
      <c r="K316" s="150" t="s">
        <v>929</v>
      </c>
      <c r="L316" s="150" t="s">
        <v>848</v>
      </c>
      <c r="M316" s="69" t="s">
        <v>1516</v>
      </c>
      <c r="N316" s="150"/>
      <c r="O316" s="150"/>
      <c r="P316" s="153">
        <v>1</v>
      </c>
      <c r="Q316" s="153"/>
      <c r="R316" s="153">
        <v>1</v>
      </c>
      <c r="S316" s="168"/>
      <c r="T316" s="201"/>
      <c r="U316" s="201"/>
      <c r="V316" s="201"/>
      <c r="W316" s="201"/>
      <c r="X316" s="201"/>
      <c r="Y316" s="201"/>
      <c r="Z316" s="201"/>
      <c r="AA316" s="201"/>
      <c r="AB316" s="201"/>
      <c r="AC316" s="201"/>
      <c r="AD316" s="201"/>
      <c r="AE316" s="36" t="str">
        <f t="shared" si="3"/>
        <v>Elaboração de proposta conjunta</v>
      </c>
      <c r="AF316" s="36"/>
    </row>
    <row r="317" spans="1:32" ht="75" x14ac:dyDescent="0.35">
      <c r="A317" s="60">
        <v>7</v>
      </c>
      <c r="B317" s="61" t="s">
        <v>1421</v>
      </c>
      <c r="C317" s="92" t="s">
        <v>1424</v>
      </c>
      <c r="D317" s="61" t="s">
        <v>1448</v>
      </c>
      <c r="E317" s="147" t="s">
        <v>930</v>
      </c>
      <c r="F317" s="148" t="s">
        <v>931</v>
      </c>
      <c r="G317" s="149" t="s">
        <v>1449</v>
      </c>
      <c r="H317" s="150" t="s">
        <v>932</v>
      </c>
      <c r="I317" s="150" t="s">
        <v>42</v>
      </c>
      <c r="J317" s="150" t="s">
        <v>47</v>
      </c>
      <c r="K317" s="150" t="s">
        <v>51</v>
      </c>
      <c r="L317" s="150" t="s">
        <v>933</v>
      </c>
      <c r="M317" s="150" t="s">
        <v>1515</v>
      </c>
      <c r="N317" s="150"/>
      <c r="O317" s="150"/>
      <c r="P317" s="153">
        <v>1</v>
      </c>
      <c r="Q317" s="153">
        <v>1</v>
      </c>
      <c r="R317" s="153"/>
      <c r="S317" s="168"/>
      <c r="T317" s="201"/>
      <c r="U317" s="201"/>
      <c r="V317" s="201"/>
      <c r="W317" s="201"/>
      <c r="X317" s="201"/>
      <c r="Y317" s="201"/>
      <c r="Z317" s="201"/>
      <c r="AA317" s="201"/>
      <c r="AB317" s="201"/>
      <c r="AC317" s="201"/>
      <c r="AD317" s="201"/>
      <c r="AE317" s="42" t="str">
        <f t="shared" si="3"/>
        <v>Elaboração de procedimento administrativo</v>
      </c>
      <c r="AF317" s="42"/>
    </row>
    <row r="318" spans="1:32" ht="75" x14ac:dyDescent="0.35">
      <c r="A318" s="60">
        <v>7</v>
      </c>
      <c r="B318" s="61" t="s">
        <v>1421</v>
      </c>
      <c r="C318" s="92" t="s">
        <v>1424</v>
      </c>
      <c r="D318" s="61" t="s">
        <v>1448</v>
      </c>
      <c r="E318" s="147" t="s">
        <v>930</v>
      </c>
      <c r="F318" s="148" t="s">
        <v>931</v>
      </c>
      <c r="G318" s="149" t="s">
        <v>1450</v>
      </c>
      <c r="H318" s="150" t="s">
        <v>934</v>
      </c>
      <c r="I318" s="150" t="s">
        <v>42</v>
      </c>
      <c r="J318" s="170" t="s">
        <v>47</v>
      </c>
      <c r="K318" s="150" t="s">
        <v>51</v>
      </c>
      <c r="L318" s="150" t="s">
        <v>935</v>
      </c>
      <c r="M318" s="150" t="s">
        <v>1515</v>
      </c>
      <c r="N318" s="150"/>
      <c r="O318" s="150"/>
      <c r="P318" s="153">
        <v>1</v>
      </c>
      <c r="Q318" s="153">
        <v>1</v>
      </c>
      <c r="R318" s="153"/>
      <c r="S318" s="168"/>
      <c r="T318" s="201"/>
      <c r="U318" s="201"/>
      <c r="V318" s="201"/>
      <c r="W318" s="201"/>
      <c r="X318" s="201"/>
      <c r="Y318" s="201"/>
      <c r="Z318" s="201"/>
      <c r="AA318" s="201"/>
      <c r="AB318" s="201"/>
      <c r="AC318" s="201"/>
      <c r="AD318" s="201"/>
      <c r="AE318" s="36" t="str">
        <f t="shared" si="3"/>
        <v>Criação de canal de</v>
      </c>
      <c r="AF318" s="36"/>
    </row>
    <row r="319" spans="1:32" ht="75" x14ac:dyDescent="0.35">
      <c r="A319" s="60">
        <v>7</v>
      </c>
      <c r="B319" s="61" t="s">
        <v>1421</v>
      </c>
      <c r="C319" s="92" t="s">
        <v>1424</v>
      </c>
      <c r="D319" s="61" t="s">
        <v>1448</v>
      </c>
      <c r="E319" s="147" t="s">
        <v>936</v>
      </c>
      <c r="F319" s="148" t="s">
        <v>937</v>
      </c>
      <c r="G319" s="149" t="s">
        <v>1451</v>
      </c>
      <c r="H319" s="150" t="s">
        <v>938</v>
      </c>
      <c r="I319" s="150" t="s">
        <v>42</v>
      </c>
      <c r="J319" s="150" t="s">
        <v>47</v>
      </c>
      <c r="K319" s="150" t="s">
        <v>51</v>
      </c>
      <c r="L319" s="150" t="s">
        <v>939</v>
      </c>
      <c r="M319" s="150" t="s">
        <v>1515</v>
      </c>
      <c r="N319" s="150"/>
      <c r="O319" s="150"/>
      <c r="P319" s="153">
        <v>1</v>
      </c>
      <c r="Q319" s="153">
        <v>1</v>
      </c>
      <c r="R319" s="153"/>
      <c r="S319" s="168"/>
      <c r="T319" s="201"/>
      <c r="U319" s="201"/>
      <c r="V319" s="201"/>
      <c r="W319" s="201"/>
      <c r="X319" s="201"/>
      <c r="Y319" s="201"/>
      <c r="Z319" s="201"/>
      <c r="AA319" s="201"/>
      <c r="AB319" s="201"/>
      <c r="AC319" s="201"/>
      <c r="AD319" s="201"/>
      <c r="AE319" s="42" t="str">
        <f t="shared" si="3"/>
        <v>Elaboração de proposta técnica</v>
      </c>
      <c r="AF319" s="42"/>
    </row>
    <row r="320" spans="1:32" ht="75" x14ac:dyDescent="0.35">
      <c r="A320" s="60">
        <v>7</v>
      </c>
      <c r="B320" s="61" t="s">
        <v>1421</v>
      </c>
      <c r="C320" s="92" t="s">
        <v>1424</v>
      </c>
      <c r="D320" s="61" t="s">
        <v>1448</v>
      </c>
      <c r="E320" s="147" t="s">
        <v>936</v>
      </c>
      <c r="F320" s="148" t="s">
        <v>937</v>
      </c>
      <c r="G320" s="149" t="s">
        <v>1452</v>
      </c>
      <c r="H320" s="150" t="s">
        <v>940</v>
      </c>
      <c r="I320" s="150" t="s">
        <v>42</v>
      </c>
      <c r="J320" s="150" t="s">
        <v>47</v>
      </c>
      <c r="K320" s="150" t="s">
        <v>51</v>
      </c>
      <c r="L320" s="150" t="s">
        <v>939</v>
      </c>
      <c r="M320" s="150" t="s">
        <v>1515</v>
      </c>
      <c r="N320" s="150"/>
      <c r="O320" s="150"/>
      <c r="P320" s="153">
        <v>1</v>
      </c>
      <c r="Q320" s="153">
        <v>1</v>
      </c>
      <c r="R320" s="153"/>
      <c r="S320" s="168"/>
      <c r="T320" s="201"/>
      <c r="U320" s="201"/>
      <c r="V320" s="201"/>
      <c r="W320" s="201"/>
      <c r="X320" s="201"/>
      <c r="Y320" s="201"/>
      <c r="Z320" s="201"/>
      <c r="AA320" s="201"/>
      <c r="AB320" s="201"/>
      <c r="AC320" s="201"/>
      <c r="AD320" s="201"/>
      <c r="AE320" s="36" t="str">
        <f t="shared" si="3"/>
        <v>Elaboração de minuta de</v>
      </c>
      <c r="AF320" s="36"/>
    </row>
    <row r="321" spans="1:32" ht="60" x14ac:dyDescent="0.35">
      <c r="A321" s="60">
        <v>7</v>
      </c>
      <c r="B321" s="61" t="s">
        <v>1421</v>
      </c>
      <c r="C321" s="92" t="s">
        <v>1424</v>
      </c>
      <c r="D321" s="61" t="s">
        <v>1448</v>
      </c>
      <c r="E321" s="174" t="s">
        <v>941</v>
      </c>
      <c r="F321" s="150" t="s">
        <v>942</v>
      </c>
      <c r="G321" s="153" t="s">
        <v>1453</v>
      </c>
      <c r="H321" s="150" t="s">
        <v>943</v>
      </c>
      <c r="I321" s="150" t="s">
        <v>51</v>
      </c>
      <c r="J321" s="150" t="s">
        <v>783</v>
      </c>
      <c r="K321" s="150" t="s">
        <v>42</v>
      </c>
      <c r="L321" s="150" t="s">
        <v>939</v>
      </c>
      <c r="M321" s="69" t="s">
        <v>1516</v>
      </c>
      <c r="N321" s="150"/>
      <c r="O321" s="150"/>
      <c r="P321" s="153">
        <v>1</v>
      </c>
      <c r="Q321" s="153">
        <v>1</v>
      </c>
      <c r="R321" s="153"/>
      <c r="S321" s="168"/>
      <c r="T321" s="201"/>
      <c r="U321" s="201"/>
      <c r="V321" s="201"/>
      <c r="W321" s="201"/>
      <c r="X321" s="201"/>
      <c r="Y321" s="201"/>
      <c r="Z321" s="201"/>
      <c r="AA321" s="201"/>
      <c r="AB321" s="201"/>
      <c r="AC321" s="201"/>
      <c r="AD321" s="201"/>
      <c r="AE321" s="42" t="str">
        <f t="shared" si="3"/>
        <v>Elaboração de proposta técnica</v>
      </c>
      <c r="AF321" s="42"/>
    </row>
    <row r="322" spans="1:32" ht="90" x14ac:dyDescent="0.35">
      <c r="A322" s="60">
        <v>7</v>
      </c>
      <c r="B322" s="61" t="s">
        <v>1421</v>
      </c>
      <c r="C322" s="92" t="s">
        <v>1425</v>
      </c>
      <c r="D322" s="61" t="s">
        <v>1454</v>
      </c>
      <c r="E322" s="147" t="s">
        <v>944</v>
      </c>
      <c r="F322" s="148" t="s">
        <v>945</v>
      </c>
      <c r="G322" s="149" t="s">
        <v>1455</v>
      </c>
      <c r="H322" s="150" t="s">
        <v>946</v>
      </c>
      <c r="I322" s="150" t="s">
        <v>42</v>
      </c>
      <c r="J322" s="150" t="s">
        <v>47</v>
      </c>
      <c r="K322" s="150" t="s">
        <v>947</v>
      </c>
      <c r="L322" s="150" t="s">
        <v>848</v>
      </c>
      <c r="M322" s="69" t="s">
        <v>1516</v>
      </c>
      <c r="N322" s="150"/>
      <c r="O322" s="150"/>
      <c r="P322" s="153">
        <v>1</v>
      </c>
      <c r="Q322" s="153">
        <v>1</v>
      </c>
      <c r="R322" s="153"/>
      <c r="S322" s="168"/>
      <c r="T322" s="201"/>
      <c r="U322" s="201"/>
      <c r="V322" s="201"/>
      <c r="W322" s="201"/>
      <c r="X322" s="201"/>
      <c r="Y322" s="201"/>
      <c r="Z322" s="201"/>
      <c r="AA322" s="201"/>
      <c r="AB322" s="201"/>
      <c r="AC322" s="201"/>
      <c r="AD322" s="201"/>
      <c r="AE322" s="36" t="str">
        <f t="shared" si="3"/>
        <v>Elaboração de proposta de</v>
      </c>
      <c r="AF322" s="36"/>
    </row>
    <row r="323" spans="1:32" ht="90" x14ac:dyDescent="0.35">
      <c r="A323" s="60">
        <v>7</v>
      </c>
      <c r="B323" s="61" t="s">
        <v>1421</v>
      </c>
      <c r="C323" s="92" t="s">
        <v>1425</v>
      </c>
      <c r="D323" s="61" t="s">
        <v>1454</v>
      </c>
      <c r="E323" s="147" t="s">
        <v>944</v>
      </c>
      <c r="F323" s="148" t="s">
        <v>945</v>
      </c>
      <c r="G323" s="149" t="s">
        <v>1456</v>
      </c>
      <c r="H323" s="150" t="s">
        <v>948</v>
      </c>
      <c r="I323" s="150" t="s">
        <v>42</v>
      </c>
      <c r="J323" s="150" t="s">
        <v>43</v>
      </c>
      <c r="K323" s="150" t="s">
        <v>947</v>
      </c>
      <c r="L323" s="150" t="s">
        <v>949</v>
      </c>
      <c r="M323" s="69" t="s">
        <v>1516</v>
      </c>
      <c r="N323" s="150"/>
      <c r="O323" s="150"/>
      <c r="P323" s="153">
        <v>1</v>
      </c>
      <c r="Q323" s="153">
        <v>1</v>
      </c>
      <c r="R323" s="153"/>
      <c r="S323" s="168"/>
      <c r="T323" s="201"/>
      <c r="U323" s="201"/>
      <c r="V323" s="201"/>
      <c r="W323" s="201"/>
      <c r="X323" s="201"/>
      <c r="Y323" s="201"/>
      <c r="Z323" s="201"/>
      <c r="AA323" s="201"/>
      <c r="AB323" s="201"/>
      <c r="AC323" s="201"/>
      <c r="AD323" s="201"/>
      <c r="AE323" s="42" t="str">
        <f t="shared" si="3"/>
        <v>Publicação de ato instituindo</v>
      </c>
      <c r="AF323" s="42"/>
    </row>
    <row r="324" spans="1:32" ht="90" x14ac:dyDescent="0.35">
      <c r="A324" s="60">
        <v>7</v>
      </c>
      <c r="B324" s="61" t="s">
        <v>1421</v>
      </c>
      <c r="C324" s="92" t="s">
        <v>1425</v>
      </c>
      <c r="D324" s="61" t="s">
        <v>1454</v>
      </c>
      <c r="E324" s="147" t="s">
        <v>944</v>
      </c>
      <c r="F324" s="148" t="s">
        <v>945</v>
      </c>
      <c r="G324" s="149" t="s">
        <v>1457</v>
      </c>
      <c r="H324" s="150" t="s">
        <v>950</v>
      </c>
      <c r="I324" s="150" t="s">
        <v>42</v>
      </c>
      <c r="J324" s="170" t="s">
        <v>47</v>
      </c>
      <c r="K324" s="150" t="s">
        <v>947</v>
      </c>
      <c r="L324" s="150" t="s">
        <v>951</v>
      </c>
      <c r="M324" s="69" t="s">
        <v>1516</v>
      </c>
      <c r="N324" s="150"/>
      <c r="O324" s="150"/>
      <c r="P324" s="153">
        <v>16</v>
      </c>
      <c r="Q324" s="153"/>
      <c r="R324" s="153">
        <v>6</v>
      </c>
      <c r="S324" s="168">
        <v>10</v>
      </c>
      <c r="T324" s="201"/>
      <c r="U324" s="201"/>
      <c r="V324" s="201"/>
      <c r="W324" s="201"/>
      <c r="X324" s="201"/>
      <c r="Y324" s="201"/>
      <c r="Z324" s="201"/>
      <c r="AA324" s="201"/>
      <c r="AB324" s="201"/>
      <c r="AC324" s="201"/>
      <c r="AD324" s="201"/>
      <c r="AE324" s="36" t="str">
        <f t="shared" si="3"/>
        <v>Realização de reuniões e</v>
      </c>
      <c r="AF324" s="36"/>
    </row>
    <row r="325" spans="1:32" ht="75" x14ac:dyDescent="0.35">
      <c r="A325" s="60">
        <v>7</v>
      </c>
      <c r="B325" s="61" t="s">
        <v>1421</v>
      </c>
      <c r="C325" s="92" t="s">
        <v>1425</v>
      </c>
      <c r="D325" s="61" t="s">
        <v>1454</v>
      </c>
      <c r="E325" s="147" t="s">
        <v>952</v>
      </c>
      <c r="F325" s="148" t="s">
        <v>953</v>
      </c>
      <c r="G325" s="149" t="s">
        <v>1458</v>
      </c>
      <c r="H325" s="148" t="s">
        <v>1461</v>
      </c>
      <c r="I325" s="148" t="s">
        <v>51</v>
      </c>
      <c r="J325" s="148" t="s">
        <v>70</v>
      </c>
      <c r="K325" s="148" t="s">
        <v>873</v>
      </c>
      <c r="L325" s="150" t="s">
        <v>954</v>
      </c>
      <c r="M325" s="69" t="s">
        <v>1516</v>
      </c>
      <c r="N325" s="150"/>
      <c r="O325" s="150"/>
      <c r="P325" s="153">
        <v>1</v>
      </c>
      <c r="Q325" s="153">
        <v>1</v>
      </c>
      <c r="R325" s="153"/>
      <c r="S325" s="168"/>
      <c r="T325" s="201"/>
      <c r="U325" s="201"/>
      <c r="V325" s="201"/>
      <c r="W325" s="201"/>
      <c r="X325" s="201"/>
      <c r="Y325" s="201"/>
      <c r="Z325" s="201"/>
      <c r="AA325" s="201"/>
      <c r="AB325" s="201"/>
      <c r="AC325" s="201"/>
      <c r="AD325" s="201"/>
      <c r="AE325" s="42" t="str">
        <f t="shared" si="3"/>
        <v>Elaboração de calendário anual</v>
      </c>
      <c r="AF325" s="42"/>
    </row>
    <row r="326" spans="1:32" ht="75" x14ac:dyDescent="0.35">
      <c r="A326" s="60">
        <v>7</v>
      </c>
      <c r="B326" s="61" t="s">
        <v>1421</v>
      </c>
      <c r="C326" s="92" t="s">
        <v>1425</v>
      </c>
      <c r="D326" s="61" t="s">
        <v>1454</v>
      </c>
      <c r="E326" s="147" t="s">
        <v>952</v>
      </c>
      <c r="F326" s="148" t="s">
        <v>953</v>
      </c>
      <c r="G326" s="149" t="s">
        <v>1458</v>
      </c>
      <c r="H326" s="148" t="s">
        <v>1461</v>
      </c>
      <c r="I326" s="148" t="s">
        <v>51</v>
      </c>
      <c r="J326" s="148" t="s">
        <v>70</v>
      </c>
      <c r="K326" s="148" t="s">
        <v>873</v>
      </c>
      <c r="L326" s="150" t="s">
        <v>955</v>
      </c>
      <c r="M326" s="69" t="s">
        <v>1516</v>
      </c>
      <c r="N326" s="150"/>
      <c r="O326" s="150"/>
      <c r="P326" s="153">
        <v>8</v>
      </c>
      <c r="Q326" s="153"/>
      <c r="R326" s="153">
        <v>3</v>
      </c>
      <c r="S326" s="168">
        <v>5</v>
      </c>
      <c r="T326" s="201"/>
      <c r="U326" s="201"/>
      <c r="V326" s="201"/>
      <c r="W326" s="201"/>
      <c r="X326" s="201"/>
      <c r="Y326" s="201"/>
      <c r="Z326" s="201"/>
      <c r="AA326" s="201"/>
      <c r="AB326" s="201"/>
      <c r="AC326" s="201"/>
      <c r="AD326" s="201"/>
      <c r="AE326" s="36" t="str">
        <f t="shared" si="3"/>
        <v>Elaboração de calendário anual</v>
      </c>
      <c r="AF326" s="36"/>
    </row>
    <row r="327" spans="1:32" ht="75" x14ac:dyDescent="0.35">
      <c r="A327" s="60">
        <v>7</v>
      </c>
      <c r="B327" s="61" t="s">
        <v>1421</v>
      </c>
      <c r="C327" s="92" t="s">
        <v>1425</v>
      </c>
      <c r="D327" s="61" t="s">
        <v>1454</v>
      </c>
      <c r="E327" s="147" t="s">
        <v>952</v>
      </c>
      <c r="F327" s="148" t="s">
        <v>953</v>
      </c>
      <c r="G327" s="149" t="s">
        <v>1459</v>
      </c>
      <c r="H327" s="150" t="s">
        <v>1462</v>
      </c>
      <c r="I327" s="150" t="s">
        <v>51</v>
      </c>
      <c r="J327" s="151" t="s">
        <v>70</v>
      </c>
      <c r="K327" s="150" t="s">
        <v>956</v>
      </c>
      <c r="L327" s="150" t="s">
        <v>874</v>
      </c>
      <c r="M327" s="69" t="s">
        <v>1516</v>
      </c>
      <c r="N327" s="150"/>
      <c r="O327" s="150"/>
      <c r="P327" s="153">
        <v>8</v>
      </c>
      <c r="Q327" s="153"/>
      <c r="R327" s="153">
        <v>3</v>
      </c>
      <c r="S327" s="168">
        <v>5</v>
      </c>
      <c r="T327" s="201"/>
      <c r="U327" s="201"/>
      <c r="V327" s="201"/>
      <c r="W327" s="201"/>
      <c r="X327" s="201"/>
      <c r="Y327" s="201"/>
      <c r="Z327" s="201"/>
      <c r="AA327" s="201"/>
      <c r="AB327" s="201"/>
      <c r="AC327" s="201"/>
      <c r="AD327" s="201"/>
      <c r="AE327" s="42" t="str">
        <f t="shared" si="3"/>
        <v>Realização de oficinas e</v>
      </c>
      <c r="AF327" s="42"/>
    </row>
    <row r="328" spans="1:32" ht="75" x14ac:dyDescent="0.35">
      <c r="A328" s="60">
        <v>7</v>
      </c>
      <c r="B328" s="61" t="s">
        <v>1421</v>
      </c>
      <c r="C328" s="92" t="s">
        <v>1425</v>
      </c>
      <c r="D328" s="61" t="s">
        <v>1454</v>
      </c>
      <c r="E328" s="147" t="s">
        <v>952</v>
      </c>
      <c r="F328" s="148" t="s">
        <v>953</v>
      </c>
      <c r="G328" s="149" t="s">
        <v>1460</v>
      </c>
      <c r="H328" s="150" t="s">
        <v>957</v>
      </c>
      <c r="I328" s="150" t="s">
        <v>51</v>
      </c>
      <c r="J328" s="151" t="s">
        <v>70</v>
      </c>
      <c r="K328" s="150" t="s">
        <v>956</v>
      </c>
      <c r="L328" s="150" t="s">
        <v>958</v>
      </c>
      <c r="M328" s="69" t="s">
        <v>1516</v>
      </c>
      <c r="N328" s="150"/>
      <c r="O328" s="150"/>
      <c r="P328" s="155">
        <v>1</v>
      </c>
      <c r="Q328" s="155">
        <v>1</v>
      </c>
      <c r="R328" s="153"/>
      <c r="S328" s="168"/>
      <c r="T328" s="201"/>
      <c r="U328" s="201"/>
      <c r="V328" s="201"/>
      <c r="W328" s="201"/>
      <c r="X328" s="201"/>
      <c r="Y328" s="201"/>
      <c r="Z328" s="201"/>
      <c r="AA328" s="201"/>
      <c r="AB328" s="201"/>
      <c r="AC328" s="201"/>
      <c r="AD328" s="201"/>
      <c r="AE328" s="36" t="str">
        <f t="shared" si="3"/>
        <v>Elaboração de materiais técnicos</v>
      </c>
      <c r="AF328" s="36"/>
    </row>
    <row r="329" spans="1:32" ht="75" x14ac:dyDescent="0.35">
      <c r="A329" s="60">
        <v>7</v>
      </c>
      <c r="B329" s="61" t="s">
        <v>1421</v>
      </c>
      <c r="C329" s="92" t="s">
        <v>1425</v>
      </c>
      <c r="D329" s="61" t="s">
        <v>1454</v>
      </c>
      <c r="E329" s="147" t="s">
        <v>959</v>
      </c>
      <c r="F329" s="148" t="s">
        <v>960</v>
      </c>
      <c r="G329" s="149" t="s">
        <v>1463</v>
      </c>
      <c r="H329" s="150" t="s">
        <v>961</v>
      </c>
      <c r="I329" s="150" t="s">
        <v>51</v>
      </c>
      <c r="J329" s="150" t="s">
        <v>783</v>
      </c>
      <c r="K329" s="150" t="s">
        <v>42</v>
      </c>
      <c r="L329" s="150" t="s">
        <v>848</v>
      </c>
      <c r="M329" s="69" t="s">
        <v>1516</v>
      </c>
      <c r="N329" s="150"/>
      <c r="O329" s="150"/>
      <c r="P329" s="153">
        <v>1</v>
      </c>
      <c r="Q329" s="153"/>
      <c r="R329" s="153">
        <v>1</v>
      </c>
      <c r="S329" s="168"/>
      <c r="T329" s="201"/>
      <c r="U329" s="201"/>
      <c r="V329" s="201"/>
      <c r="W329" s="201"/>
      <c r="X329" s="201"/>
      <c r="Y329" s="201"/>
      <c r="Z329" s="201"/>
      <c r="AA329" s="201"/>
      <c r="AB329" s="201"/>
      <c r="AC329" s="201"/>
      <c r="AD329" s="201"/>
      <c r="AE329" s="42" t="str">
        <f t="shared" si="3"/>
        <v>Elaboração de proposta de</v>
      </c>
      <c r="AF329" s="42"/>
    </row>
    <row r="330" spans="1:32" ht="75.599999999999994" thickBot="1" x14ac:dyDescent="0.4">
      <c r="A330" s="60">
        <v>7</v>
      </c>
      <c r="B330" s="61" t="s">
        <v>1421</v>
      </c>
      <c r="C330" s="92" t="s">
        <v>1425</v>
      </c>
      <c r="D330" s="61" t="s">
        <v>1454</v>
      </c>
      <c r="E330" s="147" t="s">
        <v>959</v>
      </c>
      <c r="F330" s="148" t="s">
        <v>960</v>
      </c>
      <c r="G330" s="149" t="s">
        <v>1464</v>
      </c>
      <c r="H330" s="148" t="s">
        <v>962</v>
      </c>
      <c r="I330" s="148" t="s">
        <v>51</v>
      </c>
      <c r="J330" s="148" t="s">
        <v>165</v>
      </c>
      <c r="K330" s="148" t="s">
        <v>42</v>
      </c>
      <c r="L330" s="148" t="s">
        <v>963</v>
      </c>
      <c r="M330" s="69" t="s">
        <v>1516</v>
      </c>
      <c r="N330" s="148"/>
      <c r="O330" s="148"/>
      <c r="P330" s="160">
        <v>1</v>
      </c>
      <c r="Q330" s="149"/>
      <c r="R330" s="149"/>
      <c r="S330" s="175">
        <v>1</v>
      </c>
      <c r="T330" s="204"/>
      <c r="U330" s="204"/>
      <c r="V330" s="204"/>
      <c r="W330" s="204"/>
      <c r="X330" s="204"/>
      <c r="Y330" s="204"/>
      <c r="Z330" s="204"/>
      <c r="AA330" s="204"/>
      <c r="AB330" s="204"/>
      <c r="AC330" s="204"/>
      <c r="AD330" s="204"/>
      <c r="AE330" s="35" t="str">
        <f t="shared" si="3"/>
        <v>Divulgação dos pareceres e</v>
      </c>
      <c r="AF330" s="35"/>
    </row>
    <row r="331" spans="1:32" ht="45.6" thickBot="1" x14ac:dyDescent="0.4">
      <c r="A331" s="60">
        <v>8</v>
      </c>
      <c r="B331" s="61" t="s">
        <v>1465</v>
      </c>
      <c r="C331" s="92" t="s">
        <v>1466</v>
      </c>
      <c r="D331" s="61" t="s">
        <v>1467</v>
      </c>
      <c r="E331" s="161" t="s">
        <v>964</v>
      </c>
      <c r="F331" s="162" t="s">
        <v>965</v>
      </c>
      <c r="G331" s="163" t="s">
        <v>1468</v>
      </c>
      <c r="H331" s="176" t="s">
        <v>966</v>
      </c>
      <c r="I331" s="164" t="s">
        <v>296</v>
      </c>
      <c r="J331" s="164" t="s">
        <v>967</v>
      </c>
      <c r="K331" s="176" t="s">
        <v>968</v>
      </c>
      <c r="L331" s="176" t="s">
        <v>176</v>
      </c>
      <c r="M331" s="176" t="s">
        <v>1515</v>
      </c>
      <c r="N331" s="176"/>
      <c r="O331" s="176"/>
      <c r="P331" s="177">
        <v>1</v>
      </c>
      <c r="Q331" s="177"/>
      <c r="R331" s="177">
        <v>1</v>
      </c>
      <c r="S331" s="178"/>
      <c r="T331" s="205"/>
      <c r="U331" s="205"/>
      <c r="V331" s="205"/>
      <c r="W331" s="205"/>
      <c r="X331" s="205"/>
      <c r="Y331" s="205"/>
      <c r="Z331" s="205"/>
      <c r="AA331" s="205"/>
      <c r="AB331" s="205"/>
      <c r="AC331" s="205"/>
      <c r="AD331" s="205"/>
      <c r="AE331" s="46" t="str">
        <f t="shared" si="3"/>
        <v>Mapeamento e diagnóstico dos</v>
      </c>
      <c r="AF331" s="46"/>
    </row>
    <row r="332" spans="1:32" ht="45.6" thickBot="1" x14ac:dyDescent="0.4">
      <c r="A332" s="60">
        <v>8</v>
      </c>
      <c r="B332" s="61" t="s">
        <v>1465</v>
      </c>
      <c r="C332" s="92" t="s">
        <v>1466</v>
      </c>
      <c r="D332" s="61" t="s">
        <v>1467</v>
      </c>
      <c r="E332" s="161" t="s">
        <v>964</v>
      </c>
      <c r="F332" s="162" t="s">
        <v>965</v>
      </c>
      <c r="G332" s="163" t="s">
        <v>1469</v>
      </c>
      <c r="H332" s="170" t="s">
        <v>969</v>
      </c>
      <c r="I332" s="150" t="s">
        <v>296</v>
      </c>
      <c r="J332" s="150" t="s">
        <v>970</v>
      </c>
      <c r="K332" s="170" t="s">
        <v>968</v>
      </c>
      <c r="L332" s="170" t="s">
        <v>971</v>
      </c>
      <c r="M332" s="170" t="s">
        <v>1515</v>
      </c>
      <c r="N332" s="170"/>
      <c r="O332" s="170"/>
      <c r="P332" s="179">
        <v>1</v>
      </c>
      <c r="Q332" s="179"/>
      <c r="R332" s="179">
        <v>1</v>
      </c>
      <c r="S332" s="180"/>
      <c r="T332" s="206"/>
      <c r="U332" s="206"/>
      <c r="V332" s="206"/>
      <c r="W332" s="206"/>
      <c r="X332" s="206"/>
      <c r="Y332" s="206"/>
      <c r="Z332" s="206"/>
      <c r="AA332" s="206"/>
      <c r="AB332" s="206"/>
      <c r="AC332" s="206"/>
      <c r="AD332" s="206"/>
      <c r="AE332" s="45" t="str">
        <f t="shared" si="3"/>
        <v>Definição do modelo de</v>
      </c>
      <c r="AF332" s="45"/>
    </row>
    <row r="333" spans="1:32" ht="45" x14ac:dyDescent="0.35">
      <c r="A333" s="60">
        <v>8</v>
      </c>
      <c r="B333" s="61" t="s">
        <v>1465</v>
      </c>
      <c r="C333" s="92" t="s">
        <v>1466</v>
      </c>
      <c r="D333" s="61" t="s">
        <v>1467</v>
      </c>
      <c r="E333" s="161" t="s">
        <v>964</v>
      </c>
      <c r="F333" s="162" t="s">
        <v>965</v>
      </c>
      <c r="G333" s="163" t="s">
        <v>1470</v>
      </c>
      <c r="H333" s="170" t="s">
        <v>972</v>
      </c>
      <c r="I333" s="150" t="s">
        <v>296</v>
      </c>
      <c r="J333" s="150" t="s">
        <v>970</v>
      </c>
      <c r="K333" s="170" t="s">
        <v>968</v>
      </c>
      <c r="L333" s="170" t="s">
        <v>244</v>
      </c>
      <c r="M333" s="170" t="s">
        <v>1515</v>
      </c>
      <c r="N333" s="170"/>
      <c r="O333" s="170"/>
      <c r="P333" s="179">
        <v>1</v>
      </c>
      <c r="Q333" s="179"/>
      <c r="R333" s="179">
        <v>1</v>
      </c>
      <c r="S333" s="180"/>
      <c r="T333" s="206"/>
      <c r="U333" s="206"/>
      <c r="V333" s="206"/>
      <c r="W333" s="206"/>
      <c r="X333" s="206"/>
      <c r="Y333" s="206"/>
      <c r="Z333" s="206"/>
      <c r="AA333" s="206"/>
      <c r="AB333" s="206"/>
      <c r="AC333" s="206"/>
      <c r="AD333" s="206"/>
      <c r="AE333" s="44" t="str">
        <f t="shared" si="3"/>
        <v>Elaboração de protocolo unificado</v>
      </c>
      <c r="AF333" s="44"/>
    </row>
    <row r="334" spans="1:32" ht="75" x14ac:dyDescent="0.35">
      <c r="A334" s="60">
        <v>8</v>
      </c>
      <c r="B334" s="61" t="s">
        <v>1465</v>
      </c>
      <c r="C334" s="92" t="s">
        <v>1466</v>
      </c>
      <c r="D334" s="61" t="s">
        <v>1467</v>
      </c>
      <c r="E334" s="147" t="s">
        <v>973</v>
      </c>
      <c r="F334" s="148" t="s">
        <v>974</v>
      </c>
      <c r="G334" s="149" t="s">
        <v>1471</v>
      </c>
      <c r="H334" s="150" t="s">
        <v>975</v>
      </c>
      <c r="I334" s="150" t="s">
        <v>296</v>
      </c>
      <c r="J334" s="150" t="s">
        <v>970</v>
      </c>
      <c r="K334" s="170" t="s">
        <v>968</v>
      </c>
      <c r="L334" s="170" t="s">
        <v>976</v>
      </c>
      <c r="M334" s="69" t="s">
        <v>1516</v>
      </c>
      <c r="N334" s="170"/>
      <c r="O334" s="170"/>
      <c r="P334" s="179">
        <v>1</v>
      </c>
      <c r="Q334" s="179">
        <v>1</v>
      </c>
      <c r="R334" s="179"/>
      <c r="S334" s="180"/>
      <c r="T334" s="206"/>
      <c r="U334" s="206"/>
      <c r="V334" s="206"/>
      <c r="W334" s="206"/>
      <c r="X334" s="206"/>
      <c r="Y334" s="206"/>
      <c r="Z334" s="206"/>
      <c r="AA334" s="206"/>
      <c r="AB334" s="206"/>
      <c r="AC334" s="206"/>
      <c r="AD334" s="206"/>
      <c r="AE334" s="45" t="str">
        <f t="shared" si="3"/>
        <v>Mapeamento e diagnóstico da</v>
      </c>
      <c r="AF334" s="45"/>
    </row>
    <row r="335" spans="1:32" ht="75" x14ac:dyDescent="0.35">
      <c r="A335" s="60">
        <v>8</v>
      </c>
      <c r="B335" s="61" t="s">
        <v>1465</v>
      </c>
      <c r="C335" s="92" t="s">
        <v>1466</v>
      </c>
      <c r="D335" s="61" t="s">
        <v>1467</v>
      </c>
      <c r="E335" s="147" t="s">
        <v>973</v>
      </c>
      <c r="F335" s="148" t="s">
        <v>974</v>
      </c>
      <c r="G335" s="149" t="s">
        <v>1472</v>
      </c>
      <c r="H335" s="150" t="s">
        <v>977</v>
      </c>
      <c r="I335" s="150" t="s">
        <v>296</v>
      </c>
      <c r="J335" s="150" t="s">
        <v>970</v>
      </c>
      <c r="K335" s="170" t="s">
        <v>968</v>
      </c>
      <c r="L335" s="170" t="s">
        <v>978</v>
      </c>
      <c r="M335" s="69" t="s">
        <v>1516</v>
      </c>
      <c r="N335" s="170"/>
      <c r="O335" s="170"/>
      <c r="P335" s="179">
        <v>1</v>
      </c>
      <c r="Q335" s="179"/>
      <c r="R335" s="179">
        <v>1</v>
      </c>
      <c r="S335" s="180"/>
      <c r="T335" s="206"/>
      <c r="U335" s="206"/>
      <c r="V335" s="206"/>
      <c r="W335" s="206"/>
      <c r="X335" s="206"/>
      <c r="Y335" s="206"/>
      <c r="Z335" s="206"/>
      <c r="AA335" s="206"/>
      <c r="AB335" s="206"/>
      <c r="AC335" s="206"/>
      <c r="AD335" s="206"/>
      <c r="AE335" s="44" t="str">
        <f t="shared" si="3"/>
        <v>Proposição de modelo de</v>
      </c>
      <c r="AF335" s="44"/>
    </row>
    <row r="336" spans="1:32" ht="90" x14ac:dyDescent="0.35">
      <c r="A336" s="60">
        <v>8</v>
      </c>
      <c r="B336" s="61" t="s">
        <v>1465</v>
      </c>
      <c r="C336" s="92" t="s">
        <v>1466</v>
      </c>
      <c r="D336" s="61" t="s">
        <v>1467</v>
      </c>
      <c r="E336" s="147" t="s">
        <v>973</v>
      </c>
      <c r="F336" s="148" t="s">
        <v>974</v>
      </c>
      <c r="G336" s="149" t="s">
        <v>1473</v>
      </c>
      <c r="H336" s="170" t="s">
        <v>979</v>
      </c>
      <c r="I336" s="150" t="s">
        <v>304</v>
      </c>
      <c r="J336" s="150" t="s">
        <v>980</v>
      </c>
      <c r="K336" s="170" t="s">
        <v>981</v>
      </c>
      <c r="L336" s="170" t="s">
        <v>982</v>
      </c>
      <c r="M336" s="69" t="s">
        <v>1516</v>
      </c>
      <c r="N336" s="170"/>
      <c r="O336" s="170"/>
      <c r="P336" s="179">
        <v>1</v>
      </c>
      <c r="Q336" s="179">
        <v>1</v>
      </c>
      <c r="R336" s="179"/>
      <c r="S336" s="180"/>
      <c r="T336" s="206"/>
      <c r="U336" s="206"/>
      <c r="V336" s="206"/>
      <c r="W336" s="206"/>
      <c r="X336" s="206"/>
      <c r="Y336" s="206"/>
      <c r="Z336" s="206"/>
      <c r="AA336" s="206"/>
      <c r="AB336" s="206"/>
      <c r="AC336" s="206"/>
      <c r="AD336" s="206"/>
      <c r="AE336" s="45" t="str">
        <f t="shared" si="3"/>
        <v>Elaboração do diagnóstico da</v>
      </c>
      <c r="AF336" s="45"/>
    </row>
    <row r="337" spans="1:32" ht="75" x14ac:dyDescent="0.35">
      <c r="A337" s="60">
        <v>8</v>
      </c>
      <c r="B337" s="61" t="s">
        <v>1465</v>
      </c>
      <c r="C337" s="92" t="s">
        <v>1466</v>
      </c>
      <c r="D337" s="61" t="s">
        <v>1467</v>
      </c>
      <c r="E337" s="147" t="s">
        <v>973</v>
      </c>
      <c r="F337" s="148" t="s">
        <v>974</v>
      </c>
      <c r="G337" s="149" t="s">
        <v>1474</v>
      </c>
      <c r="H337" s="170" t="s">
        <v>983</v>
      </c>
      <c r="I337" s="150" t="s">
        <v>304</v>
      </c>
      <c r="J337" s="150" t="s">
        <v>980</v>
      </c>
      <c r="K337" s="170" t="s">
        <v>981</v>
      </c>
      <c r="L337" s="170" t="s">
        <v>648</v>
      </c>
      <c r="M337" s="69" t="s">
        <v>1516</v>
      </c>
      <c r="N337" s="170"/>
      <c r="O337" s="170"/>
      <c r="P337" s="179">
        <v>1</v>
      </c>
      <c r="Q337" s="179">
        <v>1</v>
      </c>
      <c r="R337" s="179"/>
      <c r="S337" s="180"/>
      <c r="T337" s="206"/>
      <c r="U337" s="206"/>
      <c r="V337" s="206"/>
      <c r="W337" s="206"/>
      <c r="X337" s="206"/>
      <c r="Y337" s="206"/>
      <c r="Z337" s="206"/>
      <c r="AA337" s="206"/>
      <c r="AB337" s="206"/>
      <c r="AC337" s="206"/>
      <c r="AD337" s="206"/>
      <c r="AE337" s="44" t="str">
        <f t="shared" si="3"/>
        <v>Integração dos dados operacionais</v>
      </c>
      <c r="AF337" s="44"/>
    </row>
    <row r="338" spans="1:32" ht="45" x14ac:dyDescent="0.35">
      <c r="A338" s="60">
        <v>8</v>
      </c>
      <c r="B338" s="61" t="s">
        <v>1465</v>
      </c>
      <c r="C338" s="92" t="s">
        <v>1466</v>
      </c>
      <c r="D338" s="61" t="s">
        <v>1467</v>
      </c>
      <c r="E338" s="147" t="s">
        <v>984</v>
      </c>
      <c r="F338" s="148" t="s">
        <v>985</v>
      </c>
      <c r="G338" s="149" t="s">
        <v>1475</v>
      </c>
      <c r="H338" s="150" t="s">
        <v>986</v>
      </c>
      <c r="I338" s="150" t="s">
        <v>304</v>
      </c>
      <c r="J338" s="150" t="s">
        <v>980</v>
      </c>
      <c r="K338" s="170" t="s">
        <v>981</v>
      </c>
      <c r="L338" s="170" t="s">
        <v>987</v>
      </c>
      <c r="M338" s="170" t="s">
        <v>1515</v>
      </c>
      <c r="N338" s="170"/>
      <c r="O338" s="170"/>
      <c r="P338" s="179">
        <v>1</v>
      </c>
      <c r="Q338" s="179">
        <v>1</v>
      </c>
      <c r="R338" s="179"/>
      <c r="S338" s="180"/>
      <c r="T338" s="206"/>
      <c r="U338" s="206"/>
      <c r="V338" s="206"/>
      <c r="W338" s="206"/>
      <c r="X338" s="206"/>
      <c r="Y338" s="206"/>
      <c r="Z338" s="206"/>
      <c r="AA338" s="206"/>
      <c r="AB338" s="206"/>
      <c r="AC338" s="206"/>
      <c r="AD338" s="206"/>
      <c r="AE338" s="45" t="str">
        <f t="shared" si="3"/>
        <v>Realização de inventário dos</v>
      </c>
      <c r="AF338" s="45"/>
    </row>
    <row r="339" spans="1:32" ht="45" x14ac:dyDescent="0.35">
      <c r="A339" s="60">
        <v>8</v>
      </c>
      <c r="B339" s="61" t="s">
        <v>1465</v>
      </c>
      <c r="C339" s="92" t="s">
        <v>1466</v>
      </c>
      <c r="D339" s="61" t="s">
        <v>1467</v>
      </c>
      <c r="E339" s="147" t="s">
        <v>984</v>
      </c>
      <c r="F339" s="148" t="s">
        <v>985</v>
      </c>
      <c r="G339" s="149" t="s">
        <v>1476</v>
      </c>
      <c r="H339" s="150" t="s">
        <v>988</v>
      </c>
      <c r="I339" s="150" t="s">
        <v>304</v>
      </c>
      <c r="J339" s="150" t="s">
        <v>980</v>
      </c>
      <c r="K339" s="170" t="s">
        <v>981</v>
      </c>
      <c r="L339" s="170" t="s">
        <v>989</v>
      </c>
      <c r="M339" s="170" t="s">
        <v>1515</v>
      </c>
      <c r="N339" s="170"/>
      <c r="O339" s="170"/>
      <c r="P339" s="179">
        <v>1</v>
      </c>
      <c r="Q339" s="179">
        <v>1</v>
      </c>
      <c r="R339" s="179"/>
      <c r="S339" s="180"/>
      <c r="T339" s="206"/>
      <c r="U339" s="206"/>
      <c r="V339" s="206"/>
      <c r="W339" s="206"/>
      <c r="X339" s="206"/>
      <c r="Y339" s="206"/>
      <c r="Z339" s="206"/>
      <c r="AA339" s="206"/>
      <c r="AB339" s="206"/>
      <c r="AC339" s="206"/>
      <c r="AD339" s="206"/>
      <c r="AE339" s="44" t="str">
        <f t="shared" si="3"/>
        <v>Compatibilização dos protocolos de</v>
      </c>
      <c r="AF339" s="44"/>
    </row>
    <row r="340" spans="1:32" ht="45" x14ac:dyDescent="0.35">
      <c r="A340" s="60">
        <v>8</v>
      </c>
      <c r="B340" s="61" t="s">
        <v>1465</v>
      </c>
      <c r="C340" s="92" t="s">
        <v>1466</v>
      </c>
      <c r="D340" s="61" t="s">
        <v>1467</v>
      </c>
      <c r="E340" s="147" t="s">
        <v>984</v>
      </c>
      <c r="F340" s="148" t="s">
        <v>985</v>
      </c>
      <c r="G340" s="149" t="s">
        <v>1477</v>
      </c>
      <c r="H340" s="170" t="s">
        <v>990</v>
      </c>
      <c r="I340" s="150" t="s">
        <v>304</v>
      </c>
      <c r="J340" s="150" t="s">
        <v>991</v>
      </c>
      <c r="K340" s="170" t="s">
        <v>981</v>
      </c>
      <c r="L340" s="170" t="s">
        <v>989</v>
      </c>
      <c r="M340" s="170" t="s">
        <v>1515</v>
      </c>
      <c r="N340" s="170"/>
      <c r="O340" s="170"/>
      <c r="P340" s="179">
        <v>1</v>
      </c>
      <c r="Q340" s="179">
        <v>1</v>
      </c>
      <c r="R340" s="179"/>
      <c r="S340" s="180"/>
      <c r="T340" s="206"/>
      <c r="U340" s="206"/>
      <c r="V340" s="206"/>
      <c r="W340" s="206"/>
      <c r="X340" s="206"/>
      <c r="Y340" s="206"/>
      <c r="Z340" s="206"/>
      <c r="AA340" s="206"/>
      <c r="AB340" s="206"/>
      <c r="AC340" s="206"/>
      <c r="AD340" s="206"/>
      <c r="AE340" s="45" t="str">
        <f t="shared" si="3"/>
        <v>Compatibilização de protocolos conjuntos</v>
      </c>
      <c r="AF340" s="45"/>
    </row>
    <row r="341" spans="1:32" ht="45" x14ac:dyDescent="0.35">
      <c r="A341" s="60">
        <v>8</v>
      </c>
      <c r="B341" s="61" t="s">
        <v>1465</v>
      </c>
      <c r="C341" s="92" t="s">
        <v>1466</v>
      </c>
      <c r="D341" s="61" t="s">
        <v>1467</v>
      </c>
      <c r="E341" s="147" t="s">
        <v>984</v>
      </c>
      <c r="F341" s="148" t="s">
        <v>985</v>
      </c>
      <c r="G341" s="149" t="s">
        <v>1478</v>
      </c>
      <c r="H341" s="150" t="s">
        <v>992</v>
      </c>
      <c r="I341" s="150" t="s">
        <v>304</v>
      </c>
      <c r="J341" s="150" t="s">
        <v>993</v>
      </c>
      <c r="K341" s="170" t="s">
        <v>981</v>
      </c>
      <c r="L341" s="170" t="s">
        <v>994</v>
      </c>
      <c r="M341" s="170" t="s">
        <v>1515</v>
      </c>
      <c r="N341" s="170"/>
      <c r="O341" s="170"/>
      <c r="P341" s="179">
        <v>1</v>
      </c>
      <c r="Q341" s="179">
        <v>1</v>
      </c>
      <c r="R341" s="179"/>
      <c r="S341" s="180"/>
      <c r="T341" s="206"/>
      <c r="U341" s="206"/>
      <c r="V341" s="206"/>
      <c r="W341" s="206"/>
      <c r="X341" s="206"/>
      <c r="Y341" s="206"/>
      <c r="Z341" s="206"/>
      <c r="AA341" s="206"/>
      <c r="AB341" s="206"/>
      <c r="AC341" s="206"/>
      <c r="AD341" s="206"/>
      <c r="AE341" s="44" t="str">
        <f t="shared" ref="AE341:AE367" si="4">_xlfn.TEXTBEFORE(TRIM(H341), " ", 4)</f>
        <v>Atualização dos planos regionais</v>
      </c>
      <c r="AF341" s="44"/>
    </row>
    <row r="342" spans="1:32" ht="45" x14ac:dyDescent="0.35">
      <c r="A342" s="60">
        <v>8</v>
      </c>
      <c r="B342" s="61" t="s">
        <v>1465</v>
      </c>
      <c r="C342" s="92" t="s">
        <v>1466</v>
      </c>
      <c r="D342" s="61" t="s">
        <v>1467</v>
      </c>
      <c r="E342" s="147" t="s">
        <v>984</v>
      </c>
      <c r="F342" s="148" t="s">
        <v>985</v>
      </c>
      <c r="G342" s="149" t="s">
        <v>1479</v>
      </c>
      <c r="H342" s="150" t="s">
        <v>995</v>
      </c>
      <c r="I342" s="150" t="s">
        <v>304</v>
      </c>
      <c r="J342" s="150" t="s">
        <v>980</v>
      </c>
      <c r="K342" s="170" t="s">
        <v>981</v>
      </c>
      <c r="L342" s="170" t="s">
        <v>996</v>
      </c>
      <c r="M342" s="170" t="s">
        <v>1515</v>
      </c>
      <c r="N342" s="170"/>
      <c r="O342" s="170"/>
      <c r="P342" s="179">
        <v>8</v>
      </c>
      <c r="Q342" s="179"/>
      <c r="R342" s="179">
        <v>3</v>
      </c>
      <c r="S342" s="180">
        <v>5</v>
      </c>
      <c r="T342" s="206"/>
      <c r="U342" s="206"/>
      <c r="V342" s="206"/>
      <c r="W342" s="206"/>
      <c r="X342" s="206"/>
      <c r="Y342" s="206"/>
      <c r="Z342" s="206"/>
      <c r="AA342" s="206"/>
      <c r="AB342" s="206"/>
      <c r="AC342" s="206"/>
      <c r="AD342" s="206"/>
      <c r="AE342" s="45" t="str">
        <f t="shared" si="4"/>
        <v>Capacitação continuada das equipes</v>
      </c>
      <c r="AF342" s="45"/>
    </row>
    <row r="343" spans="1:32" ht="45" x14ac:dyDescent="0.35">
      <c r="A343" s="60">
        <v>8</v>
      </c>
      <c r="B343" s="61" t="s">
        <v>1465</v>
      </c>
      <c r="C343" s="92" t="s">
        <v>1466</v>
      </c>
      <c r="D343" s="61" t="s">
        <v>1467</v>
      </c>
      <c r="E343" s="147" t="s">
        <v>984</v>
      </c>
      <c r="F343" s="148" t="s">
        <v>985</v>
      </c>
      <c r="G343" s="149" t="s">
        <v>1480</v>
      </c>
      <c r="H343" s="150" t="s">
        <v>997</v>
      </c>
      <c r="I343" s="150" t="s">
        <v>304</v>
      </c>
      <c r="J343" s="150" t="s">
        <v>980</v>
      </c>
      <c r="K343" s="170" t="s">
        <v>981</v>
      </c>
      <c r="L343" s="170" t="s">
        <v>998</v>
      </c>
      <c r="M343" s="170" t="s">
        <v>1515</v>
      </c>
      <c r="N343" s="170"/>
      <c r="O343" s="170"/>
      <c r="P343" s="179">
        <v>12</v>
      </c>
      <c r="Q343" s="179"/>
      <c r="R343" s="179">
        <v>2</v>
      </c>
      <c r="S343" s="180">
        <v>10</v>
      </c>
      <c r="T343" s="206"/>
      <c r="U343" s="206"/>
      <c r="V343" s="206"/>
      <c r="W343" s="206"/>
      <c r="X343" s="206"/>
      <c r="Y343" s="206"/>
      <c r="Z343" s="206"/>
      <c r="AA343" s="206"/>
      <c r="AB343" s="206"/>
      <c r="AC343" s="206"/>
      <c r="AD343" s="206"/>
      <c r="AE343" s="44" t="str">
        <f t="shared" si="4"/>
        <v>Realização de simulados integrados</v>
      </c>
      <c r="AF343" s="44"/>
    </row>
    <row r="344" spans="1:32" ht="75" x14ac:dyDescent="0.35">
      <c r="A344" s="60">
        <v>8</v>
      </c>
      <c r="B344" s="61" t="s">
        <v>1465</v>
      </c>
      <c r="C344" s="92" t="s">
        <v>1466</v>
      </c>
      <c r="D344" s="61" t="s">
        <v>1467</v>
      </c>
      <c r="E344" s="147" t="s">
        <v>999</v>
      </c>
      <c r="F344" s="148" t="s">
        <v>1000</v>
      </c>
      <c r="G344" s="149" t="s">
        <v>1481</v>
      </c>
      <c r="H344" s="170" t="s">
        <v>1001</v>
      </c>
      <c r="I344" s="150" t="s">
        <v>296</v>
      </c>
      <c r="J344" s="150" t="s">
        <v>970</v>
      </c>
      <c r="K344" s="170" t="s">
        <v>1002</v>
      </c>
      <c r="L344" s="170" t="s">
        <v>1003</v>
      </c>
      <c r="M344" s="170" t="s">
        <v>1515</v>
      </c>
      <c r="N344" s="170"/>
      <c r="O344" s="170"/>
      <c r="P344" s="179">
        <v>1</v>
      </c>
      <c r="Q344" s="179"/>
      <c r="R344" s="179">
        <v>1</v>
      </c>
      <c r="S344" s="180"/>
      <c r="T344" s="206"/>
      <c r="U344" s="206"/>
      <c r="V344" s="206"/>
      <c r="W344" s="206"/>
      <c r="X344" s="206"/>
      <c r="Y344" s="206"/>
      <c r="Z344" s="206"/>
      <c r="AA344" s="206"/>
      <c r="AB344" s="206"/>
      <c r="AC344" s="206"/>
      <c r="AD344" s="206"/>
      <c r="AE344" s="45" t="str">
        <f t="shared" si="4"/>
        <v>Definição de responsabilidades e</v>
      </c>
      <c r="AF344" s="45"/>
    </row>
    <row r="345" spans="1:32" ht="75" x14ac:dyDescent="0.35">
      <c r="A345" s="60">
        <v>8</v>
      </c>
      <c r="B345" s="61" t="s">
        <v>1465</v>
      </c>
      <c r="C345" s="92" t="s">
        <v>1466</v>
      </c>
      <c r="D345" s="61" t="s">
        <v>1467</v>
      </c>
      <c r="E345" s="147" t="s">
        <v>999</v>
      </c>
      <c r="F345" s="148" t="s">
        <v>1000</v>
      </c>
      <c r="G345" s="149" t="s">
        <v>1482</v>
      </c>
      <c r="H345" s="150" t="s">
        <v>1004</v>
      </c>
      <c r="I345" s="150" t="s">
        <v>296</v>
      </c>
      <c r="J345" s="150" t="s">
        <v>970</v>
      </c>
      <c r="K345" s="170" t="s">
        <v>1002</v>
      </c>
      <c r="L345" s="170" t="s">
        <v>905</v>
      </c>
      <c r="M345" s="170" t="s">
        <v>1515</v>
      </c>
      <c r="N345" s="170"/>
      <c r="O345" s="170"/>
      <c r="P345" s="179">
        <v>1</v>
      </c>
      <c r="Q345" s="179"/>
      <c r="R345" s="179">
        <v>1</v>
      </c>
      <c r="S345" s="180"/>
      <c r="T345" s="206"/>
      <c r="U345" s="206"/>
      <c r="V345" s="206"/>
      <c r="W345" s="206"/>
      <c r="X345" s="206"/>
      <c r="Y345" s="206"/>
      <c r="Z345" s="206"/>
      <c r="AA345" s="206"/>
      <c r="AB345" s="206"/>
      <c r="AC345" s="206"/>
      <c r="AD345" s="206"/>
      <c r="AE345" s="44" t="str">
        <f t="shared" si="4"/>
        <v>Estudo para integração entre</v>
      </c>
      <c r="AF345" s="44"/>
    </row>
    <row r="346" spans="1:32" ht="45" x14ac:dyDescent="0.35">
      <c r="A346" s="60">
        <v>8</v>
      </c>
      <c r="B346" s="61" t="s">
        <v>1465</v>
      </c>
      <c r="C346" s="92" t="s">
        <v>1466</v>
      </c>
      <c r="D346" s="61" t="s">
        <v>1467</v>
      </c>
      <c r="E346" s="181" t="s">
        <v>1005</v>
      </c>
      <c r="F346" s="148" t="s">
        <v>1006</v>
      </c>
      <c r="G346" s="149" t="s">
        <v>1483</v>
      </c>
      <c r="H346" s="170" t="s">
        <v>1007</v>
      </c>
      <c r="I346" s="150" t="s">
        <v>304</v>
      </c>
      <c r="J346" s="150" t="s">
        <v>980</v>
      </c>
      <c r="K346" s="170" t="s">
        <v>1008</v>
      </c>
      <c r="L346" s="170" t="s">
        <v>1009</v>
      </c>
      <c r="M346" s="69" t="s">
        <v>1516</v>
      </c>
      <c r="N346" s="170"/>
      <c r="O346" s="170"/>
      <c r="P346" s="179">
        <v>1</v>
      </c>
      <c r="Q346" s="179"/>
      <c r="R346" s="179">
        <v>1</v>
      </c>
      <c r="S346" s="180"/>
      <c r="T346" s="206"/>
      <c r="U346" s="206"/>
      <c r="V346" s="206"/>
      <c r="W346" s="206"/>
      <c r="X346" s="206"/>
      <c r="Y346" s="206"/>
      <c r="Z346" s="206"/>
      <c r="AA346" s="206"/>
      <c r="AB346" s="206"/>
      <c r="AC346" s="206"/>
      <c r="AD346" s="206"/>
      <c r="AE346" s="45" t="str">
        <f t="shared" si="4"/>
        <v>Elaboração da matriz curricular</v>
      </c>
      <c r="AF346" s="45"/>
    </row>
    <row r="347" spans="1:32" ht="75" x14ac:dyDescent="0.35">
      <c r="A347" s="60">
        <v>8</v>
      </c>
      <c r="B347" s="61" t="s">
        <v>1465</v>
      </c>
      <c r="C347" s="92" t="s">
        <v>1466</v>
      </c>
      <c r="D347" s="61" t="s">
        <v>1467</v>
      </c>
      <c r="E347" s="181" t="s">
        <v>1005</v>
      </c>
      <c r="F347" s="148" t="s">
        <v>1006</v>
      </c>
      <c r="G347" s="149" t="s">
        <v>1484</v>
      </c>
      <c r="H347" s="150" t="s">
        <v>1010</v>
      </c>
      <c r="I347" s="150" t="s">
        <v>304</v>
      </c>
      <c r="J347" s="150" t="s">
        <v>980</v>
      </c>
      <c r="K347" s="170" t="s">
        <v>1008</v>
      </c>
      <c r="L347" s="170" t="s">
        <v>312</v>
      </c>
      <c r="M347" s="69" t="s">
        <v>1516</v>
      </c>
      <c r="N347" s="170"/>
      <c r="O347" s="170"/>
      <c r="P347" s="179">
        <v>12</v>
      </c>
      <c r="Q347" s="179"/>
      <c r="R347" s="179">
        <v>2</v>
      </c>
      <c r="S347" s="180">
        <v>10</v>
      </c>
      <c r="T347" s="206"/>
      <c r="U347" s="206"/>
      <c r="V347" s="206"/>
      <c r="W347" s="206"/>
      <c r="X347" s="206"/>
      <c r="Y347" s="206"/>
      <c r="Z347" s="206"/>
      <c r="AA347" s="206"/>
      <c r="AB347" s="206"/>
      <c r="AC347" s="206"/>
      <c r="AD347" s="206"/>
      <c r="AE347" s="44" t="str">
        <f t="shared" si="4"/>
        <v>Realização de programa de</v>
      </c>
      <c r="AF347" s="44"/>
    </row>
    <row r="348" spans="1:32" ht="66" x14ac:dyDescent="0.35">
      <c r="A348" s="60">
        <v>8</v>
      </c>
      <c r="B348" s="61" t="s">
        <v>1465</v>
      </c>
      <c r="C348" s="92" t="s">
        <v>1485</v>
      </c>
      <c r="D348" s="61" t="s">
        <v>1486</v>
      </c>
      <c r="E348" s="147" t="s">
        <v>1011</v>
      </c>
      <c r="F348" s="148" t="s">
        <v>1012</v>
      </c>
      <c r="G348" s="149" t="s">
        <v>1487</v>
      </c>
      <c r="H348" s="150" t="s">
        <v>1013</v>
      </c>
      <c r="I348" s="150" t="s">
        <v>304</v>
      </c>
      <c r="J348" s="150" t="s">
        <v>993</v>
      </c>
      <c r="K348" s="170" t="s">
        <v>1014</v>
      </c>
      <c r="L348" s="170" t="s">
        <v>1015</v>
      </c>
      <c r="M348" s="69" t="s">
        <v>1516</v>
      </c>
      <c r="N348" s="170"/>
      <c r="O348" s="170"/>
      <c r="P348" s="182">
        <v>1</v>
      </c>
      <c r="Q348" s="179"/>
      <c r="R348" s="179"/>
      <c r="S348" s="183">
        <v>1</v>
      </c>
      <c r="T348" s="207"/>
      <c r="U348" s="207"/>
      <c r="V348" s="207"/>
      <c r="W348" s="207"/>
      <c r="X348" s="207"/>
      <c r="Y348" s="207"/>
      <c r="Z348" s="207"/>
      <c r="AA348" s="207"/>
      <c r="AB348" s="207"/>
      <c r="AC348" s="207"/>
      <c r="AD348" s="207"/>
      <c r="AE348" s="45" t="str">
        <f t="shared" si="4"/>
        <v>Formalização de acordos de</v>
      </c>
      <c r="AF348" s="45"/>
    </row>
    <row r="349" spans="1:32" ht="66" x14ac:dyDescent="0.35">
      <c r="A349" s="60">
        <v>8</v>
      </c>
      <c r="B349" s="61" t="s">
        <v>1465</v>
      </c>
      <c r="C349" s="92" t="s">
        <v>1485</v>
      </c>
      <c r="D349" s="61" t="s">
        <v>1486</v>
      </c>
      <c r="E349" s="147" t="s">
        <v>1011</v>
      </c>
      <c r="F349" s="148" t="s">
        <v>1012</v>
      </c>
      <c r="G349" s="149" t="s">
        <v>1488</v>
      </c>
      <c r="H349" s="150" t="s">
        <v>1016</v>
      </c>
      <c r="I349" s="150" t="s">
        <v>304</v>
      </c>
      <c r="J349" s="150" t="s">
        <v>1017</v>
      </c>
      <c r="K349" s="170" t="s">
        <v>1018</v>
      </c>
      <c r="L349" s="170" t="s">
        <v>1019</v>
      </c>
      <c r="M349" s="69" t="s">
        <v>1516</v>
      </c>
      <c r="N349" s="170"/>
      <c r="O349" s="170"/>
      <c r="P349" s="179">
        <v>1</v>
      </c>
      <c r="Q349" s="179"/>
      <c r="R349" s="179">
        <v>1</v>
      </c>
      <c r="S349" s="180"/>
      <c r="T349" s="206"/>
      <c r="U349" s="206"/>
      <c r="V349" s="206"/>
      <c r="W349" s="206"/>
      <c r="X349" s="206"/>
      <c r="Y349" s="206"/>
      <c r="Z349" s="206"/>
      <c r="AA349" s="206"/>
      <c r="AB349" s="206"/>
      <c r="AC349" s="206"/>
      <c r="AD349" s="206"/>
      <c r="AE349" s="44" t="str">
        <f t="shared" si="4"/>
        <v>Inclusão de novos membros</v>
      </c>
      <c r="AF349" s="44"/>
    </row>
    <row r="350" spans="1:32" ht="66" x14ac:dyDescent="0.35">
      <c r="A350" s="60">
        <v>8</v>
      </c>
      <c r="B350" s="61" t="s">
        <v>1465</v>
      </c>
      <c r="C350" s="92" t="s">
        <v>1485</v>
      </c>
      <c r="D350" s="61" t="s">
        <v>1486</v>
      </c>
      <c r="E350" s="147" t="s">
        <v>1020</v>
      </c>
      <c r="F350" s="148" t="s">
        <v>1021</v>
      </c>
      <c r="G350" s="149" t="s">
        <v>1489</v>
      </c>
      <c r="H350" s="150" t="s">
        <v>1022</v>
      </c>
      <c r="I350" s="150" t="s">
        <v>304</v>
      </c>
      <c r="J350" s="150" t="s">
        <v>1023</v>
      </c>
      <c r="K350" s="170" t="s">
        <v>51</v>
      </c>
      <c r="L350" s="170" t="s">
        <v>1024</v>
      </c>
      <c r="M350" s="170" t="s">
        <v>1515</v>
      </c>
      <c r="N350" s="170"/>
      <c r="O350" s="170"/>
      <c r="P350" s="182">
        <v>1</v>
      </c>
      <c r="Q350" s="182">
        <v>1</v>
      </c>
      <c r="R350" s="179"/>
      <c r="S350" s="180"/>
      <c r="T350" s="206"/>
      <c r="U350" s="206"/>
      <c r="V350" s="206"/>
      <c r="W350" s="206"/>
      <c r="X350" s="206"/>
      <c r="Y350" s="206"/>
      <c r="Z350" s="206"/>
      <c r="AA350" s="206"/>
      <c r="AB350" s="206"/>
      <c r="AC350" s="206"/>
      <c r="AD350" s="206"/>
      <c r="AE350" s="45" t="str">
        <f t="shared" si="4"/>
        <v>Formalização de acordos de</v>
      </c>
      <c r="AF350" s="45"/>
    </row>
    <row r="351" spans="1:32" ht="66" x14ac:dyDescent="0.35">
      <c r="A351" s="60">
        <v>8</v>
      </c>
      <c r="B351" s="61" t="s">
        <v>1465</v>
      </c>
      <c r="C351" s="92" t="s">
        <v>1485</v>
      </c>
      <c r="D351" s="61" t="s">
        <v>1486</v>
      </c>
      <c r="E351" s="147" t="s">
        <v>1020</v>
      </c>
      <c r="F351" s="148" t="s">
        <v>1021</v>
      </c>
      <c r="G351" s="149" t="s">
        <v>1490</v>
      </c>
      <c r="H351" s="150" t="s">
        <v>1025</v>
      </c>
      <c r="I351" s="150" t="s">
        <v>304</v>
      </c>
      <c r="J351" s="150" t="s">
        <v>1023</v>
      </c>
      <c r="K351" s="170" t="s">
        <v>51</v>
      </c>
      <c r="L351" s="170" t="s">
        <v>648</v>
      </c>
      <c r="M351" s="170" t="s">
        <v>1515</v>
      </c>
      <c r="N351" s="170"/>
      <c r="O351" s="170"/>
      <c r="P351" s="179">
        <v>1</v>
      </c>
      <c r="Q351" s="179"/>
      <c r="R351" s="179">
        <v>1</v>
      </c>
      <c r="S351" s="180"/>
      <c r="T351" s="206"/>
      <c r="U351" s="206"/>
      <c r="V351" s="206"/>
      <c r="W351" s="206"/>
      <c r="X351" s="206"/>
      <c r="Y351" s="206"/>
      <c r="Z351" s="206"/>
      <c r="AA351" s="206"/>
      <c r="AB351" s="206"/>
      <c r="AC351" s="206"/>
      <c r="AD351" s="206"/>
      <c r="AE351" s="44" t="str">
        <f t="shared" si="4"/>
        <v>Integração entre os sistemas</v>
      </c>
      <c r="AF351" s="44"/>
    </row>
    <row r="352" spans="1:32" ht="66" x14ac:dyDescent="0.35">
      <c r="A352" s="60">
        <v>8</v>
      </c>
      <c r="B352" s="61" t="s">
        <v>1465</v>
      </c>
      <c r="C352" s="92" t="s">
        <v>1485</v>
      </c>
      <c r="D352" s="61" t="s">
        <v>1486</v>
      </c>
      <c r="E352" s="147" t="s">
        <v>1026</v>
      </c>
      <c r="F352" s="169" t="s">
        <v>1027</v>
      </c>
      <c r="G352" s="184" t="s">
        <v>1491</v>
      </c>
      <c r="H352" s="150" t="s">
        <v>1028</v>
      </c>
      <c r="I352" s="150" t="s">
        <v>304</v>
      </c>
      <c r="J352" s="150" t="s">
        <v>980</v>
      </c>
      <c r="K352" s="170" t="s">
        <v>1029</v>
      </c>
      <c r="L352" s="170" t="s">
        <v>1030</v>
      </c>
      <c r="M352" s="170" t="s">
        <v>1515</v>
      </c>
      <c r="N352" s="170"/>
      <c r="O352" s="170"/>
      <c r="P352" s="182">
        <v>1</v>
      </c>
      <c r="Q352" s="182">
        <v>1</v>
      </c>
      <c r="R352" s="179"/>
      <c r="S352" s="180"/>
      <c r="T352" s="206"/>
      <c r="U352" s="206"/>
      <c r="V352" s="206"/>
      <c r="W352" s="206"/>
      <c r="X352" s="206"/>
      <c r="Y352" s="206"/>
      <c r="Z352" s="206"/>
      <c r="AA352" s="206"/>
      <c r="AB352" s="206"/>
      <c r="AC352" s="206"/>
      <c r="AD352" s="206"/>
      <c r="AE352" s="45" t="str">
        <f t="shared" si="4"/>
        <v>Formalização de parcerias com</v>
      </c>
      <c r="AF352" s="45"/>
    </row>
    <row r="353" spans="1:32" ht="66" x14ac:dyDescent="0.35">
      <c r="A353" s="60">
        <v>8</v>
      </c>
      <c r="B353" s="61" t="s">
        <v>1465</v>
      </c>
      <c r="C353" s="92" t="s">
        <v>1485</v>
      </c>
      <c r="D353" s="61" t="s">
        <v>1486</v>
      </c>
      <c r="E353" s="147" t="s">
        <v>1026</v>
      </c>
      <c r="F353" s="169" t="s">
        <v>1027</v>
      </c>
      <c r="G353" s="184" t="s">
        <v>1492</v>
      </c>
      <c r="H353" s="150" t="s">
        <v>1031</v>
      </c>
      <c r="I353" s="150" t="s">
        <v>304</v>
      </c>
      <c r="J353" s="150" t="s">
        <v>980</v>
      </c>
      <c r="K353" s="170" t="s">
        <v>1029</v>
      </c>
      <c r="L353" s="170" t="s">
        <v>763</v>
      </c>
      <c r="M353" s="170" t="s">
        <v>1515</v>
      </c>
      <c r="N353" s="170"/>
      <c r="O353" s="170"/>
      <c r="P353" s="179">
        <v>8</v>
      </c>
      <c r="Q353" s="179"/>
      <c r="R353" s="179">
        <v>3</v>
      </c>
      <c r="S353" s="180">
        <v>5</v>
      </c>
      <c r="T353" s="206"/>
      <c r="U353" s="206"/>
      <c r="V353" s="206"/>
      <c r="W353" s="206"/>
      <c r="X353" s="206"/>
      <c r="Y353" s="206"/>
      <c r="Z353" s="206"/>
      <c r="AA353" s="206"/>
      <c r="AB353" s="206"/>
      <c r="AC353" s="206"/>
      <c r="AD353" s="206"/>
      <c r="AE353" s="44" t="str">
        <f t="shared" si="4"/>
        <v>Capacitação continuada, abordando protocolos</v>
      </c>
      <c r="AF353" s="44"/>
    </row>
    <row r="354" spans="1:32" ht="45" x14ac:dyDescent="0.35">
      <c r="A354" s="60">
        <v>8</v>
      </c>
      <c r="B354" s="61" t="s">
        <v>1465</v>
      </c>
      <c r="C354" s="92" t="s">
        <v>1493</v>
      </c>
      <c r="D354" s="61" t="s">
        <v>1494</v>
      </c>
      <c r="E354" s="147" t="s">
        <v>1032</v>
      </c>
      <c r="F354" s="148" t="s">
        <v>1033</v>
      </c>
      <c r="G354" s="149" t="s">
        <v>1495</v>
      </c>
      <c r="H354" s="170" t="s">
        <v>1034</v>
      </c>
      <c r="I354" s="150" t="s">
        <v>304</v>
      </c>
      <c r="J354" s="150" t="s">
        <v>980</v>
      </c>
      <c r="K354" s="170" t="s">
        <v>1035</v>
      </c>
      <c r="L354" s="170" t="s">
        <v>244</v>
      </c>
      <c r="M354" s="69" t="s">
        <v>1516</v>
      </c>
      <c r="N354" s="170"/>
      <c r="O354" s="170"/>
      <c r="P354" s="179">
        <v>1</v>
      </c>
      <c r="Q354" s="179">
        <v>1</v>
      </c>
      <c r="R354" s="179"/>
      <c r="S354" s="180"/>
      <c r="T354" s="206"/>
      <c r="U354" s="206"/>
      <c r="V354" s="206"/>
      <c r="W354" s="206"/>
      <c r="X354" s="206"/>
      <c r="Y354" s="206"/>
      <c r="Z354" s="206"/>
      <c r="AA354" s="206"/>
      <c r="AB354" s="206"/>
      <c r="AC354" s="206"/>
      <c r="AD354" s="206"/>
      <c r="AE354" s="45" t="str">
        <f t="shared" si="4"/>
        <v>Elaboração de protocolo estadual</v>
      </c>
      <c r="AF354" s="45"/>
    </row>
    <row r="355" spans="1:32" ht="60" x14ac:dyDescent="0.35">
      <c r="A355" s="60">
        <v>8</v>
      </c>
      <c r="B355" s="61" t="s">
        <v>1465</v>
      </c>
      <c r="C355" s="92" t="s">
        <v>1493</v>
      </c>
      <c r="D355" s="61" t="s">
        <v>1494</v>
      </c>
      <c r="E355" s="147" t="s">
        <v>1032</v>
      </c>
      <c r="F355" s="148" t="s">
        <v>1033</v>
      </c>
      <c r="G355" s="149" t="s">
        <v>1496</v>
      </c>
      <c r="H355" s="150" t="s">
        <v>1036</v>
      </c>
      <c r="I355" s="150" t="s">
        <v>304</v>
      </c>
      <c r="J355" s="150" t="s">
        <v>980</v>
      </c>
      <c r="K355" s="170" t="s">
        <v>1037</v>
      </c>
      <c r="L355" s="170" t="s">
        <v>1038</v>
      </c>
      <c r="M355" s="69" t="s">
        <v>1516</v>
      </c>
      <c r="N355" s="170"/>
      <c r="O355" s="170"/>
      <c r="P355" s="179">
        <v>1</v>
      </c>
      <c r="Q355" s="179">
        <v>1</v>
      </c>
      <c r="R355" s="179"/>
      <c r="S355" s="180"/>
      <c r="T355" s="206"/>
      <c r="U355" s="206"/>
      <c r="V355" s="206"/>
      <c r="W355" s="206"/>
      <c r="X355" s="206"/>
      <c r="Y355" s="206"/>
      <c r="Z355" s="206"/>
      <c r="AA355" s="206"/>
      <c r="AB355" s="206"/>
      <c r="AC355" s="206"/>
      <c r="AD355" s="206"/>
      <c r="AE355" s="45" t="str">
        <f t="shared" si="4"/>
        <v>Elaboração do plano de</v>
      </c>
      <c r="AF355" s="45"/>
    </row>
    <row r="356" spans="1:32" ht="60" x14ac:dyDescent="0.35">
      <c r="A356" s="60">
        <v>8</v>
      </c>
      <c r="B356" s="61" t="s">
        <v>1465</v>
      </c>
      <c r="C356" s="92" t="s">
        <v>1493</v>
      </c>
      <c r="D356" s="61" t="s">
        <v>1494</v>
      </c>
      <c r="E356" s="147" t="s">
        <v>1032</v>
      </c>
      <c r="F356" s="148" t="s">
        <v>1033</v>
      </c>
      <c r="G356" s="149" t="s">
        <v>1497</v>
      </c>
      <c r="H356" s="150" t="s">
        <v>1039</v>
      </c>
      <c r="I356" s="150" t="s">
        <v>304</v>
      </c>
      <c r="J356" s="150" t="s">
        <v>980</v>
      </c>
      <c r="K356" s="170" t="s">
        <v>1040</v>
      </c>
      <c r="L356" s="170" t="s">
        <v>1041</v>
      </c>
      <c r="M356" s="69" t="s">
        <v>1516</v>
      </c>
      <c r="N356" s="170"/>
      <c r="O356" s="170"/>
      <c r="P356" s="179">
        <v>8</v>
      </c>
      <c r="Q356" s="179"/>
      <c r="R356" s="179">
        <v>3</v>
      </c>
      <c r="S356" s="180">
        <v>5</v>
      </c>
      <c r="T356" s="206"/>
      <c r="U356" s="206"/>
      <c r="V356" s="206"/>
      <c r="W356" s="206"/>
      <c r="X356" s="206"/>
      <c r="Y356" s="206"/>
      <c r="Z356" s="206"/>
      <c r="AA356" s="206"/>
      <c r="AB356" s="206"/>
      <c r="AC356" s="206"/>
      <c r="AD356" s="206"/>
      <c r="AE356" s="44" t="str">
        <f t="shared" si="4"/>
        <v>Desenvolvimento de campanhas de</v>
      </c>
      <c r="AF356" s="44"/>
    </row>
    <row r="357" spans="1:32" ht="75" x14ac:dyDescent="0.35">
      <c r="A357" s="60">
        <v>8</v>
      </c>
      <c r="B357" s="61" t="s">
        <v>1465</v>
      </c>
      <c r="C357" s="92" t="s">
        <v>1498</v>
      </c>
      <c r="D357" s="61" t="s">
        <v>1499</v>
      </c>
      <c r="E357" s="147" t="s">
        <v>1042</v>
      </c>
      <c r="F357" s="148" t="s">
        <v>1043</v>
      </c>
      <c r="G357" s="149" t="s">
        <v>1500</v>
      </c>
      <c r="H357" s="150" t="s">
        <v>1044</v>
      </c>
      <c r="I357" s="150" t="s">
        <v>304</v>
      </c>
      <c r="J357" s="150" t="s">
        <v>980</v>
      </c>
      <c r="K357" s="170" t="s">
        <v>1045</v>
      </c>
      <c r="L357" s="170" t="s">
        <v>1046</v>
      </c>
      <c r="M357" s="170" t="s">
        <v>1515</v>
      </c>
      <c r="N357" s="170"/>
      <c r="O357" s="170"/>
      <c r="P357" s="179">
        <v>1</v>
      </c>
      <c r="Q357" s="179"/>
      <c r="R357" s="179">
        <v>1</v>
      </c>
      <c r="S357" s="180"/>
      <c r="T357" s="206"/>
      <c r="U357" s="206"/>
      <c r="V357" s="206"/>
      <c r="W357" s="206"/>
      <c r="X357" s="206"/>
      <c r="Y357" s="206"/>
      <c r="Z357" s="206"/>
      <c r="AA357" s="206"/>
      <c r="AB357" s="206"/>
      <c r="AC357" s="206"/>
      <c r="AD357" s="206"/>
      <c r="AE357" s="45" t="str">
        <f t="shared" si="4"/>
        <v>Elaboração de Protocolo Estadual</v>
      </c>
      <c r="AF357" s="45"/>
    </row>
    <row r="358" spans="1:32" ht="75" x14ac:dyDescent="0.35">
      <c r="A358" s="60">
        <v>8</v>
      </c>
      <c r="B358" s="61" t="s">
        <v>1465</v>
      </c>
      <c r="C358" s="92" t="s">
        <v>1498</v>
      </c>
      <c r="D358" s="61" t="s">
        <v>1499</v>
      </c>
      <c r="E358" s="147" t="s">
        <v>1042</v>
      </c>
      <c r="F358" s="148" t="s">
        <v>1043</v>
      </c>
      <c r="G358" s="149" t="s">
        <v>1501</v>
      </c>
      <c r="H358" s="150" t="s">
        <v>1047</v>
      </c>
      <c r="I358" s="150" t="s">
        <v>321</v>
      </c>
      <c r="J358" s="151" t="s">
        <v>411</v>
      </c>
      <c r="K358" s="170" t="s">
        <v>1048</v>
      </c>
      <c r="L358" s="170" t="s">
        <v>1049</v>
      </c>
      <c r="M358" s="170" t="s">
        <v>1515</v>
      </c>
      <c r="N358" s="170"/>
      <c r="O358" s="170"/>
      <c r="P358" s="182">
        <v>1</v>
      </c>
      <c r="Q358" s="182">
        <v>1</v>
      </c>
      <c r="R358" s="179"/>
      <c r="S358" s="180"/>
      <c r="T358" s="206"/>
      <c r="U358" s="206"/>
      <c r="V358" s="206"/>
      <c r="W358" s="206"/>
      <c r="X358" s="206"/>
      <c r="Y358" s="206"/>
      <c r="Z358" s="206"/>
      <c r="AA358" s="206"/>
      <c r="AB358" s="206"/>
      <c r="AC358" s="206"/>
      <c r="AD358" s="206"/>
      <c r="AE358" s="44" t="str">
        <f t="shared" si="4"/>
        <v>Revisão dos contratos de</v>
      </c>
      <c r="AF358" s="44"/>
    </row>
    <row r="359" spans="1:32" ht="75" x14ac:dyDescent="0.35">
      <c r="A359" s="60">
        <v>8</v>
      </c>
      <c r="B359" s="61" t="s">
        <v>1465</v>
      </c>
      <c r="C359" s="92" t="s">
        <v>1498</v>
      </c>
      <c r="D359" s="61" t="s">
        <v>1499</v>
      </c>
      <c r="E359" s="147" t="s">
        <v>1042</v>
      </c>
      <c r="F359" s="148" t="s">
        <v>1043</v>
      </c>
      <c r="G359" s="149" t="s">
        <v>1502</v>
      </c>
      <c r="H359" s="170" t="s">
        <v>1050</v>
      </c>
      <c r="I359" s="150" t="s">
        <v>321</v>
      </c>
      <c r="J359" s="151" t="s">
        <v>411</v>
      </c>
      <c r="K359" s="170" t="s">
        <v>1048</v>
      </c>
      <c r="L359" s="170" t="s">
        <v>1051</v>
      </c>
      <c r="M359" s="170" t="s">
        <v>1515</v>
      </c>
      <c r="N359" s="170"/>
      <c r="O359" s="170"/>
      <c r="P359" s="179">
        <v>8</v>
      </c>
      <c r="Q359" s="179"/>
      <c r="R359" s="179">
        <v>3</v>
      </c>
      <c r="S359" s="180">
        <v>5</v>
      </c>
      <c r="T359" s="206"/>
      <c r="U359" s="206"/>
      <c r="V359" s="206"/>
      <c r="W359" s="206"/>
      <c r="X359" s="206"/>
      <c r="Y359" s="206"/>
      <c r="Z359" s="206"/>
      <c r="AA359" s="206"/>
      <c r="AB359" s="206"/>
      <c r="AC359" s="206"/>
      <c r="AD359" s="206"/>
      <c r="AE359" s="45" t="str">
        <f t="shared" si="4"/>
        <v>Realização de monitoramento e</v>
      </c>
      <c r="AF359" s="45"/>
    </row>
    <row r="360" spans="1:32" ht="75" x14ac:dyDescent="0.35">
      <c r="A360" s="60">
        <v>8</v>
      </c>
      <c r="B360" s="61" t="s">
        <v>1465</v>
      </c>
      <c r="C360" s="92" t="s">
        <v>1498</v>
      </c>
      <c r="D360" s="61" t="s">
        <v>1499</v>
      </c>
      <c r="E360" s="147" t="s">
        <v>1042</v>
      </c>
      <c r="F360" s="148" t="s">
        <v>1043</v>
      </c>
      <c r="G360" s="149" t="s">
        <v>1503</v>
      </c>
      <c r="H360" s="150" t="s">
        <v>1052</v>
      </c>
      <c r="I360" s="150" t="s">
        <v>321</v>
      </c>
      <c r="J360" s="151" t="s">
        <v>411</v>
      </c>
      <c r="K360" s="170" t="s">
        <v>1053</v>
      </c>
      <c r="L360" s="170" t="s">
        <v>1054</v>
      </c>
      <c r="M360" s="170" t="s">
        <v>1515</v>
      </c>
      <c r="N360" s="170"/>
      <c r="O360" s="170"/>
      <c r="P360" s="179">
        <v>8</v>
      </c>
      <c r="Q360" s="179"/>
      <c r="R360" s="179">
        <v>3</v>
      </c>
      <c r="S360" s="180">
        <v>5</v>
      </c>
      <c r="T360" s="206"/>
      <c r="U360" s="206"/>
      <c r="V360" s="206"/>
      <c r="W360" s="206"/>
      <c r="X360" s="206"/>
      <c r="Y360" s="206"/>
      <c r="Z360" s="206"/>
      <c r="AA360" s="206"/>
      <c r="AB360" s="206"/>
      <c r="AC360" s="206"/>
      <c r="AD360" s="206"/>
      <c r="AE360" s="44" t="str">
        <f t="shared" si="4"/>
        <v>Elaboração de campanha pública</v>
      </c>
      <c r="AF360" s="44"/>
    </row>
    <row r="361" spans="1:32" ht="105" x14ac:dyDescent="0.35">
      <c r="A361" s="60">
        <v>8</v>
      </c>
      <c r="B361" s="61" t="s">
        <v>1465</v>
      </c>
      <c r="C361" s="92" t="s">
        <v>1498</v>
      </c>
      <c r="D361" s="61" t="s">
        <v>1499</v>
      </c>
      <c r="E361" s="147" t="s">
        <v>1055</v>
      </c>
      <c r="F361" s="148" t="s">
        <v>1056</v>
      </c>
      <c r="G361" s="149" t="s">
        <v>1504</v>
      </c>
      <c r="H361" s="150" t="s">
        <v>1057</v>
      </c>
      <c r="I361" s="150" t="s">
        <v>323</v>
      </c>
      <c r="J361" s="150" t="s">
        <v>380</v>
      </c>
      <c r="K361" s="170" t="s">
        <v>1058</v>
      </c>
      <c r="L361" s="170" t="s">
        <v>890</v>
      </c>
      <c r="M361" s="170" t="s">
        <v>1515</v>
      </c>
      <c r="N361" s="170"/>
      <c r="O361" s="170"/>
      <c r="P361" s="179">
        <v>1</v>
      </c>
      <c r="Q361" s="179">
        <v>1</v>
      </c>
      <c r="R361" s="179"/>
      <c r="S361" s="180"/>
      <c r="T361" s="206"/>
      <c r="U361" s="206"/>
      <c r="V361" s="206"/>
      <c r="W361" s="206"/>
      <c r="X361" s="206"/>
      <c r="Y361" s="206"/>
      <c r="Z361" s="206"/>
      <c r="AA361" s="206"/>
      <c r="AB361" s="206"/>
      <c r="AC361" s="206"/>
      <c r="AD361" s="206"/>
      <c r="AE361" s="45" t="str">
        <f t="shared" si="4"/>
        <v>Elaboração de diagnóstico das</v>
      </c>
      <c r="AF361" s="45"/>
    </row>
    <row r="362" spans="1:32" ht="75" x14ac:dyDescent="0.35">
      <c r="A362" s="60">
        <v>8</v>
      </c>
      <c r="B362" s="61" t="s">
        <v>1465</v>
      </c>
      <c r="C362" s="92" t="s">
        <v>1498</v>
      </c>
      <c r="D362" s="61" t="s">
        <v>1499</v>
      </c>
      <c r="E362" s="147" t="s">
        <v>1055</v>
      </c>
      <c r="F362" s="148" t="s">
        <v>1056</v>
      </c>
      <c r="G362" s="149" t="s">
        <v>1505</v>
      </c>
      <c r="H362" s="150" t="s">
        <v>1059</v>
      </c>
      <c r="I362" s="150" t="s">
        <v>323</v>
      </c>
      <c r="J362" s="150" t="s">
        <v>380</v>
      </c>
      <c r="K362" s="170" t="s">
        <v>1060</v>
      </c>
      <c r="L362" s="170" t="s">
        <v>517</v>
      </c>
      <c r="M362" s="170" t="s">
        <v>1515</v>
      </c>
      <c r="N362" s="170"/>
      <c r="O362" s="170"/>
      <c r="P362" s="179">
        <v>1</v>
      </c>
      <c r="Q362" s="179"/>
      <c r="R362" s="179">
        <v>1</v>
      </c>
      <c r="S362" s="180"/>
      <c r="T362" s="206"/>
      <c r="U362" s="206"/>
      <c r="V362" s="206"/>
      <c r="W362" s="206"/>
      <c r="X362" s="206"/>
      <c r="Y362" s="206"/>
      <c r="Z362" s="206"/>
      <c r="AA362" s="206"/>
      <c r="AB362" s="206"/>
      <c r="AC362" s="206"/>
      <c r="AD362" s="206"/>
      <c r="AE362" s="44" t="str">
        <f t="shared" si="4"/>
        <v>Elaboração de Plano Estadual</v>
      </c>
      <c r="AF362" s="44"/>
    </row>
    <row r="363" spans="1:32" ht="75" x14ac:dyDescent="0.35">
      <c r="A363" s="60">
        <v>8</v>
      </c>
      <c r="B363" s="61" t="s">
        <v>1465</v>
      </c>
      <c r="C363" s="92" t="s">
        <v>1498</v>
      </c>
      <c r="D363" s="61" t="s">
        <v>1499</v>
      </c>
      <c r="E363" s="147" t="s">
        <v>1055</v>
      </c>
      <c r="F363" s="148" t="s">
        <v>1056</v>
      </c>
      <c r="G363" s="149" t="s">
        <v>1506</v>
      </c>
      <c r="H363" s="150" t="s">
        <v>1061</v>
      </c>
      <c r="I363" s="150" t="s">
        <v>323</v>
      </c>
      <c r="J363" s="150" t="s">
        <v>380</v>
      </c>
      <c r="K363" s="170" t="s">
        <v>1058</v>
      </c>
      <c r="L363" s="170" t="s">
        <v>1024</v>
      </c>
      <c r="M363" s="69" t="s">
        <v>1516</v>
      </c>
      <c r="N363" s="170"/>
      <c r="O363" s="170"/>
      <c r="P363" s="182">
        <v>1</v>
      </c>
      <c r="Q363" s="179"/>
      <c r="R363" s="182">
        <v>1</v>
      </c>
      <c r="S363" s="180"/>
      <c r="T363" s="206"/>
      <c r="U363" s="206"/>
      <c r="V363" s="206"/>
      <c r="W363" s="206"/>
      <c r="X363" s="206"/>
      <c r="Y363" s="206"/>
      <c r="Z363" s="206"/>
      <c r="AA363" s="206"/>
      <c r="AB363" s="206"/>
      <c r="AC363" s="206"/>
      <c r="AD363" s="206"/>
      <c r="AE363" s="45" t="str">
        <f t="shared" si="4"/>
        <v>Formalização de acordos de</v>
      </c>
      <c r="AF363" s="45"/>
    </row>
    <row r="364" spans="1:32" ht="75" x14ac:dyDescent="0.35">
      <c r="A364" s="60">
        <v>8</v>
      </c>
      <c r="B364" s="61" t="s">
        <v>1465</v>
      </c>
      <c r="C364" s="92" t="s">
        <v>1498</v>
      </c>
      <c r="D364" s="61" t="s">
        <v>1499</v>
      </c>
      <c r="E364" s="147" t="s">
        <v>1055</v>
      </c>
      <c r="F364" s="148" t="s">
        <v>1056</v>
      </c>
      <c r="G364" s="149" t="s">
        <v>1507</v>
      </c>
      <c r="H364" s="150" t="s">
        <v>1062</v>
      </c>
      <c r="I364" s="150" t="s">
        <v>323</v>
      </c>
      <c r="J364" s="150" t="s">
        <v>380</v>
      </c>
      <c r="K364" s="170" t="s">
        <v>1058</v>
      </c>
      <c r="L364" s="170" t="s">
        <v>360</v>
      </c>
      <c r="M364" s="69" t="s">
        <v>1516</v>
      </c>
      <c r="N364" s="170"/>
      <c r="O364" s="170"/>
      <c r="P364" s="179">
        <v>1</v>
      </c>
      <c r="Q364" s="179">
        <v>1</v>
      </c>
      <c r="R364" s="179"/>
      <c r="S364" s="180"/>
      <c r="T364" s="206"/>
      <c r="U364" s="206"/>
      <c r="V364" s="206"/>
      <c r="W364" s="206"/>
      <c r="X364" s="206"/>
      <c r="Y364" s="206"/>
      <c r="Z364" s="206"/>
      <c r="AA364" s="206"/>
      <c r="AB364" s="206"/>
      <c r="AC364" s="206"/>
      <c r="AD364" s="206"/>
      <c r="AE364" s="45" t="str">
        <f t="shared" si="4"/>
        <v>Elaboração de manual de</v>
      </c>
      <c r="AF364" s="45"/>
    </row>
    <row r="365" spans="1:32" ht="75" x14ac:dyDescent="0.35">
      <c r="A365" s="60">
        <v>8</v>
      </c>
      <c r="B365" s="61" t="s">
        <v>1465</v>
      </c>
      <c r="C365" s="92" t="s">
        <v>1498</v>
      </c>
      <c r="D365" s="61" t="s">
        <v>1499</v>
      </c>
      <c r="E365" s="147" t="s">
        <v>1055</v>
      </c>
      <c r="F365" s="148" t="s">
        <v>1056</v>
      </c>
      <c r="G365" s="149" t="s">
        <v>1508</v>
      </c>
      <c r="H365" s="150" t="s">
        <v>1063</v>
      </c>
      <c r="I365" s="150" t="s">
        <v>323</v>
      </c>
      <c r="J365" s="150" t="s">
        <v>380</v>
      </c>
      <c r="K365" s="170" t="s">
        <v>1058</v>
      </c>
      <c r="L365" s="170" t="s">
        <v>1064</v>
      </c>
      <c r="M365" s="69" t="s">
        <v>1516</v>
      </c>
      <c r="N365" s="170"/>
      <c r="O365" s="170"/>
      <c r="P365" s="179">
        <v>1</v>
      </c>
      <c r="Q365" s="179"/>
      <c r="R365" s="179">
        <v>1</v>
      </c>
      <c r="S365" s="180"/>
      <c r="T365" s="206"/>
      <c r="U365" s="206"/>
      <c r="V365" s="206"/>
      <c r="W365" s="206"/>
      <c r="X365" s="206"/>
      <c r="Y365" s="206"/>
      <c r="Z365" s="206"/>
      <c r="AA365" s="206"/>
      <c r="AB365" s="206"/>
      <c r="AC365" s="206"/>
      <c r="AD365" s="206"/>
      <c r="AE365" s="44" t="str">
        <f t="shared" si="4"/>
        <v>Monitoramento e avaliação dos</v>
      </c>
      <c r="AF365" s="44"/>
    </row>
    <row r="366" spans="1:32" ht="75" x14ac:dyDescent="0.35">
      <c r="A366" s="60">
        <v>8</v>
      </c>
      <c r="B366" s="61" t="s">
        <v>1465</v>
      </c>
      <c r="C366" s="92" t="s">
        <v>1498</v>
      </c>
      <c r="D366" s="61" t="s">
        <v>1499</v>
      </c>
      <c r="E366" s="147" t="s">
        <v>1055</v>
      </c>
      <c r="F366" s="148" t="s">
        <v>1056</v>
      </c>
      <c r="G366" s="149" t="s">
        <v>1509</v>
      </c>
      <c r="H366" s="150" t="s">
        <v>1065</v>
      </c>
      <c r="I366" s="150" t="s">
        <v>323</v>
      </c>
      <c r="J366" s="150" t="s">
        <v>380</v>
      </c>
      <c r="K366" s="170" t="s">
        <v>1060</v>
      </c>
      <c r="L366" s="170" t="s">
        <v>1066</v>
      </c>
      <c r="M366" s="69" t="s">
        <v>1516</v>
      </c>
      <c r="N366" s="170"/>
      <c r="O366" s="170"/>
      <c r="P366" s="179">
        <v>1</v>
      </c>
      <c r="Q366" s="179"/>
      <c r="R366" s="179"/>
      <c r="S366" s="180">
        <v>1</v>
      </c>
      <c r="T366" s="206"/>
      <c r="U366" s="206"/>
      <c r="V366" s="206"/>
      <c r="W366" s="206"/>
      <c r="X366" s="206"/>
      <c r="Y366" s="206"/>
      <c r="Z366" s="206"/>
      <c r="AA366" s="206"/>
      <c r="AB366" s="206"/>
      <c r="AC366" s="206"/>
      <c r="AD366" s="206"/>
      <c r="AE366" s="45" t="str">
        <f t="shared" si="4"/>
        <v>Implantação do Plano Estadual</v>
      </c>
      <c r="AF366" s="45"/>
    </row>
    <row r="367" spans="1:32" ht="90.6" thickBot="1" x14ac:dyDescent="0.4">
      <c r="A367" s="60">
        <v>8</v>
      </c>
      <c r="B367" s="61" t="s">
        <v>1465</v>
      </c>
      <c r="C367" s="92" t="s">
        <v>1498</v>
      </c>
      <c r="D367" s="61" t="s">
        <v>1499</v>
      </c>
      <c r="E367" s="185" t="s">
        <v>1067</v>
      </c>
      <c r="F367" s="186" t="s">
        <v>1068</v>
      </c>
      <c r="G367" s="187" t="s">
        <v>1510</v>
      </c>
      <c r="H367" s="186" t="s">
        <v>1069</v>
      </c>
      <c r="I367" s="186" t="s">
        <v>304</v>
      </c>
      <c r="J367" s="186" t="s">
        <v>1023</v>
      </c>
      <c r="K367" s="188" t="s">
        <v>1002</v>
      </c>
      <c r="L367" s="188" t="s">
        <v>1070</v>
      </c>
      <c r="M367" s="69" t="s">
        <v>1516</v>
      </c>
      <c r="N367" s="188"/>
      <c r="O367" s="188"/>
      <c r="P367" s="189">
        <v>1</v>
      </c>
      <c r="Q367" s="189">
        <v>1</v>
      </c>
      <c r="R367" s="189"/>
      <c r="S367" s="190"/>
      <c r="T367" s="208"/>
      <c r="U367" s="208"/>
      <c r="V367" s="208"/>
      <c r="W367" s="208"/>
      <c r="X367" s="208"/>
      <c r="Y367" s="208"/>
      <c r="Z367" s="208"/>
      <c r="AA367" s="208"/>
      <c r="AB367" s="208"/>
      <c r="AC367" s="208"/>
      <c r="AD367" s="208"/>
      <c r="AE367" s="47" t="str">
        <f t="shared" si="4"/>
        <v>Formalização de instrumento de</v>
      </c>
      <c r="AF367" s="47"/>
    </row>
  </sheetData>
  <autoFilter ref="A2:AF367" xr:uid="{F6D77FC8-948A-4DB3-85AA-85145AB39F87}"/>
  <mergeCells count="2">
    <mergeCell ref="Q1:S1"/>
    <mergeCell ref="T1:AD1"/>
  </mergeCells>
  <phoneticPr fontId="21" type="noConversion"/>
  <dataValidations count="21">
    <dataValidation allowBlank="1" showInputMessage="1" showErrorMessage="1" sqref="AF36:AF39 AF41:AF42" xr:uid="{E8F1837E-93BA-4123-9470-8A842A2BBA2E}"/>
    <dataValidation type="list" allowBlank="1" showErrorMessage="1" sqref="K331:K367" xr:uid="{7741C6D4-A24C-48CE-8024-4763EEB58F60}">
      <formula1>"SES-SP,SSP,Secretarias municipais de saúde,Órgaos Municipais,Detran-SP,Academia,Institutos de Pesquisa,SECOM,ARTESP,SEDS,SEDPcD,DER-SP"</formula1>
    </dataValidation>
    <dataValidation type="list" allowBlank="1" showErrorMessage="1" sqref="I331:I367" xr:uid="{56508B3A-E3E4-4732-8435-E40D4BC0AE89}">
      <formula1>"ARTESP,CEAPESV,Cetran-SP,DER-SP,Detran-SP,IOT-FMHCUSP,SES-SP,FCASS-SP,ABRAMET,GTDRS1,ANTT,SSP,Casa Civil"</formula1>
    </dataValidation>
    <dataValidation type="list" allowBlank="1" showErrorMessage="1" sqref="K294:K330" xr:uid="{12B3D55A-5ED2-45C7-8F45-3DEFB7B8A7DC}">
      <formula1>"CEAPESV,Cetran-SP,DER-SP,Detran-SP,ARTESP,ARSESP,ANTT,PRF,PMESP,Guardas Municipais,SEDUC,Sistran-SP,INMETRO,Montadoras,Gov. Estado,SSP,Mercado de peças,Min. Público,EPT,EGESP,Municípios,SG,SEFAZ,DFT,DVA,Consultoria Jurídica(Detran-SP),DAL,PROCON,DGR,SGRI,"&amp;"SEMIL-SP,DNIT,SECOM,Casa Civil,SGGD,ALESP"</formula1>
    </dataValidation>
    <dataValidation type="list" allowBlank="1" showErrorMessage="1" sqref="I294:I330" xr:uid="{CB152FFF-96E4-4DF7-B763-AF04868B3F24}">
      <formula1>"CEAPESV,Cetran-SP,DER-SP,Detran-SP,Sistran-SP,SGGD"</formula1>
    </dataValidation>
    <dataValidation type="list" allowBlank="1" showErrorMessage="1" sqref="I245:I267 I275:I293" xr:uid="{8D9C324D-8F04-4077-BF93-60CCF7E9745E}">
      <formula1>"ANTT,ARTESP,CEAPESV,Cetran-SP,DER-SP,Detran-SP,SDPCD,SDUH,SEMIL-SP,STM,SSP"</formula1>
    </dataValidation>
    <dataValidation type="list" allowBlank="1" showErrorMessage="1" sqref="K242:K293" xr:uid="{83AFF005-1818-434F-96A6-4058FB4C79E9}">
      <formula1>"ANTT,ARTESP,CEAPESV,Cetran-SP,DER-SP,Detran-SP,SEDPcD,SDUH,SEMIL-SP,STM,PRF,PMESP,JARIs,Órgãos Municipais,DNIT,Órgãos Autuadores,Academia,Institutos de Pesquisa,ONGs,SECOM"</formula1>
    </dataValidation>
    <dataValidation type="list" allowBlank="1" showErrorMessage="1" sqref="I242:I244 I268:I274" xr:uid="{01E08A5D-3912-4816-8512-EE71F2B2990A}">
      <formula1>"ANTT,ARTESP,CEAPESV,Cetran-SP,DER-SP,Detran-SP,SDPCD,SDUH,SEMIL,STM,PRF,PMESP,JARIs,SISTRAN-SP"</formula1>
    </dataValidation>
    <dataValidation type="list" allowBlank="1" showErrorMessage="1" sqref="I204:I241" xr:uid="{736D9968-7C6A-4BBC-9ECA-9F0FD3D8CF29}">
      <formula1>"ANTT,ARTESP,CEAPESV,Cetran-SP,DER-SP,Detran-SP,SDPCD,SDUH,SEMIL,STM,SEDUC-SP,PM-SP,CEAPESV,SECOM-SP,Órgãos integrados ao Sistran"</formula1>
    </dataValidation>
    <dataValidation type="list" allowBlank="1" showErrorMessage="1" sqref="K204:K241" xr:uid="{A1FCD0ED-3F9E-4EDA-90FB-C1D94A8CF1B5}">
      <formula1>"ANTT,ARTESP,CEAPESV,Cetran-SP,DER-SP,Detran-SP,SDPCD,SDUH,SEMIL,STM,SECOM,SEDUC,PM-SP,SEADE,SGRI,Membros Natos SISTRAN-SP"</formula1>
    </dataValidation>
    <dataValidation type="list" allowBlank="1" showErrorMessage="1" sqref="K165:K201" xr:uid="{6139E5C4-4398-44B0-86B2-517CD4C71D42}">
      <formula1>"ARTESP,CEAPESV,Cetran-SP,DER-SP,Detran-SP,PMESP,SEDPcD,SEDUC-SP,SEMIL-SP,SES-SP,SECOM,STM,SSP"</formula1>
    </dataValidation>
    <dataValidation type="list" allowBlank="1" showErrorMessage="1" sqref="I165:I203" xr:uid="{0DF04F56-20DA-41DD-8C31-F703C6BC12DB}">
      <formula1>"CEAPESV,Cetran-SP,DER-SP,Detran-SP,PM-SP,SEDUC-SP,SES-SP"</formula1>
    </dataValidation>
    <dataValidation type="list" allowBlank="1" showErrorMessage="1" sqref="K202:K203" xr:uid="{9BEA6575-6F4C-4906-A13E-A23CEFAC4DC0}">
      <formula1>"ANTT,ARTESP,CEAPESV,Cetran-SP,DER-SP,Detran-SP,SDPCD,SDUH,SEMIL,STM,SECOM,Órgãos Autuadores"</formula1>
    </dataValidation>
    <dataValidation type="list" allowBlank="1" showErrorMessage="1" sqref="K111:K164" xr:uid="{27FFF6FC-5903-4BC6-AD45-2FA7A568384C}">
      <formula1>"ANTT,ARTESP,CEAPESV,Cetran-SP,DER-SP,Detran-SP,SEDPcD,SDUH,SEMIL-SP,STM,SECOM"</formula1>
    </dataValidation>
    <dataValidation type="list" allowBlank="1" showErrorMessage="1" sqref="I111:I164" xr:uid="{525225C9-FA4E-4A62-BEF8-55FF7FDB48BC}">
      <formula1>"ANTT,ARTESP,CEAPESV,Cetran-SP,DER-SP,Detran-SP,SDPCD,SDUH,SEMIL-SP,STM,Secretaria de Governo"</formula1>
    </dataValidation>
    <dataValidation type="list" allowBlank="1" showErrorMessage="1" sqref="I63:I110 K63:K110 AF87" xr:uid="{3228AE52-8763-4DB3-92CE-EE761F1AC6D6}">
      <formula1>"ARTESP,Cetran-SP,DER-SP,Detran-SP,IGC-SP,PMESP,SES-SP,PRODESP,Casa Civil,Polícia Civil,SGGD,SSP,SGRI,Órgãos Municipais,PRF,Membros Natos SISTRAN-SP,Órgãos Autuadores,Município de São Paulo,SECOM,SDUH,SEDUC-SP,ANTT"</formula1>
    </dataValidation>
    <dataValidation type="list" allowBlank="1" showErrorMessage="1" sqref="K3:K7 K50:K55" xr:uid="{FF6ADA92-4FAD-4577-8EAC-DA753A6521DA}">
      <formula1>"ANTT,ARTESP,CEAPESV,Cetran-SP,DER-SP,Detran-SP,SDE,CC,SDUH,SEMIL,SES-SP,SGGD,SGRI,STM,PMESP,PRF,Membros Natos SISTRAN-SP,Casa Civil"</formula1>
    </dataValidation>
    <dataValidation type="list" allowBlank="1" showErrorMessage="1" sqref="I3:I9 I11:I62" xr:uid="{E203AF15-59B8-4BB0-9F1A-BF1C394A6C26}">
      <formula1>"ANTT,ARTESP,CEAPESV,Cetran-SP,DER-SP,Detran-SP,SDE,CC,SDUH,SEMIL-SP,SES-SP,SGGD,SGRI,STM,PMESP,PRF,Casa Civil,Membros Natos SISTRAN-SP"</formula1>
    </dataValidation>
    <dataValidation type="list" allowBlank="1" showErrorMessage="1" sqref="K8" xr:uid="{54377FA7-7095-4E12-9C20-3A19873CEFBC}">
      <formula1>"ANTT,ARTESP,CEAPESV,Cetran-SP,DER-SP,Detran-SP,SDPCD,SDUH,SEMIL,STM,Membros Natos SISTRAN-SP,PGE,SGGD,C"</formula1>
    </dataValidation>
    <dataValidation type="list" allowBlank="1" showErrorMessage="1" sqref="I10 K9:K23 K36:K49 K56:K58 K60:K62 K25:K34" xr:uid="{F42AE467-BD0C-4633-B61C-6AB5B997F1E9}">
      <formula1>"ANTT,ARTESP,CEAPESV,Cetran-SP,DER-SP,Detran-SP,SEDPcD ,SDUH,SEMIL-SP,STM,Membros Natos SISTRAN-SP,PGE-SP,SGGD,SGRI,Órgãos Municipais"</formula1>
    </dataValidation>
    <dataValidation type="list" allowBlank="1" showErrorMessage="1" sqref="K59" xr:uid="{5151BE38-185A-4A40-874E-9EC88200EA82}">
      <formula1>"ANTT,ARTESP,CEAPESV,Cetran-SP,DER-SP,Detran-SP,SEDPcD ,SDUH,SEMIL-SP,STM,Membros Natos SISTRAN-SP,PGE-SP,SGGD,SGRI,Órgãos Municipais,SGRI, Cetran-SP"</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5DA5-248B-45C7-B1C9-B9CBAB65806D}">
  <dimension ref="A1:AB3"/>
  <sheetViews>
    <sheetView topLeftCell="D1" workbookViewId="0">
      <selection activeCell="Z6" sqref="Z6"/>
    </sheetView>
  </sheetViews>
  <sheetFormatPr defaultRowHeight="14.4" x14ac:dyDescent="0.3"/>
  <cols>
    <col min="6" max="6" width="13.5546875" customWidth="1"/>
    <col min="9" max="9" width="10.88671875" customWidth="1"/>
    <col min="12" max="12" width="14.109375" customWidth="1"/>
    <col min="13" max="13" width="14.33203125" customWidth="1"/>
    <col min="14" max="14" width="15.33203125" customWidth="1"/>
    <col min="15" max="17" width="10.6640625" customWidth="1"/>
    <col min="18" max="18" width="12" customWidth="1"/>
    <col min="19" max="19" width="12.6640625" customWidth="1"/>
    <col min="20" max="20" width="11.44140625" customWidth="1"/>
  </cols>
  <sheetData>
    <row r="1" spans="1:28" x14ac:dyDescent="0.3">
      <c r="A1" s="215" t="s">
        <v>0</v>
      </c>
      <c r="B1" s="215" t="s">
        <v>1</v>
      </c>
      <c r="C1" s="215" t="s">
        <v>2</v>
      </c>
      <c r="D1" s="215" t="s">
        <v>3</v>
      </c>
      <c r="E1" s="215" t="s">
        <v>4</v>
      </c>
      <c r="F1" s="215" t="s">
        <v>16</v>
      </c>
      <c r="G1" s="215" t="s">
        <v>20</v>
      </c>
      <c r="H1" s="213" t="s">
        <v>18</v>
      </c>
      <c r="I1" s="213" t="s">
        <v>19</v>
      </c>
      <c r="J1" s="213" t="s">
        <v>5</v>
      </c>
      <c r="K1" s="213" t="s">
        <v>6</v>
      </c>
      <c r="L1" s="215" t="s">
        <v>7</v>
      </c>
      <c r="M1" s="215" t="s">
        <v>8</v>
      </c>
      <c r="N1" s="217" t="s">
        <v>21</v>
      </c>
      <c r="O1" s="218"/>
      <c r="P1" s="218"/>
      <c r="Q1" s="219"/>
      <c r="R1" s="215" t="s">
        <v>17</v>
      </c>
      <c r="S1" s="215" t="s">
        <v>9</v>
      </c>
      <c r="T1" s="212" t="s">
        <v>23</v>
      </c>
      <c r="U1" s="212"/>
      <c r="V1" s="212"/>
      <c r="W1" s="212" t="s">
        <v>24</v>
      </c>
      <c r="X1" s="212"/>
      <c r="Y1" s="212"/>
      <c r="Z1" s="212" t="s">
        <v>25</v>
      </c>
      <c r="AA1" s="212"/>
      <c r="AB1" s="212"/>
    </row>
    <row r="2" spans="1:28" ht="43.5" customHeight="1" x14ac:dyDescent="0.3">
      <c r="A2" s="216"/>
      <c r="B2" s="216"/>
      <c r="C2" s="220"/>
      <c r="D2" s="216"/>
      <c r="E2" s="216" t="s">
        <v>4</v>
      </c>
      <c r="F2" s="220"/>
      <c r="G2" s="220"/>
      <c r="H2" s="214"/>
      <c r="I2" s="214"/>
      <c r="J2" s="214"/>
      <c r="K2" s="214"/>
      <c r="L2" s="216"/>
      <c r="M2" s="216"/>
      <c r="N2" s="9" t="s">
        <v>22</v>
      </c>
      <c r="O2" s="9" t="s">
        <v>10</v>
      </c>
      <c r="P2" s="9" t="s">
        <v>11</v>
      </c>
      <c r="Q2" s="9" t="s">
        <v>12</v>
      </c>
      <c r="R2" s="216"/>
      <c r="S2" s="216"/>
      <c r="T2" s="10" t="s">
        <v>10</v>
      </c>
      <c r="U2" s="10" t="s">
        <v>11</v>
      </c>
      <c r="V2" s="10" t="s">
        <v>12</v>
      </c>
      <c r="W2" s="10" t="s">
        <v>10</v>
      </c>
      <c r="X2" s="10" t="s">
        <v>11</v>
      </c>
      <c r="Y2" s="10" t="s">
        <v>12</v>
      </c>
      <c r="Z2" s="10" t="s">
        <v>10</v>
      </c>
      <c r="AA2" s="10" t="s">
        <v>11</v>
      </c>
      <c r="AB2" s="10" t="s">
        <v>12</v>
      </c>
    </row>
    <row r="3" spans="1:28" x14ac:dyDescent="0.3">
      <c r="A3" s="1"/>
      <c r="B3" s="2"/>
      <c r="C3" s="3"/>
      <c r="D3" s="4"/>
      <c r="E3" s="4"/>
      <c r="F3" s="5"/>
      <c r="G3" s="6"/>
      <c r="H3" s="6"/>
      <c r="I3" s="6"/>
      <c r="J3" s="6"/>
      <c r="K3" s="6"/>
      <c r="L3" s="6"/>
      <c r="M3" s="5"/>
      <c r="N3" s="5"/>
      <c r="O3" s="5"/>
      <c r="P3" s="5"/>
      <c r="Q3" s="5"/>
      <c r="R3" s="5"/>
      <c r="S3" s="5"/>
      <c r="T3" s="5"/>
      <c r="U3" s="5"/>
      <c r="V3" s="5"/>
      <c r="W3" s="5"/>
      <c r="X3" s="5"/>
      <c r="Y3" s="5"/>
      <c r="Z3" s="5"/>
      <c r="AA3" s="5"/>
      <c r="AB3" s="5"/>
    </row>
  </sheetData>
  <mergeCells count="19">
    <mergeCell ref="G1:G2"/>
    <mergeCell ref="H1:H2"/>
    <mergeCell ref="J1:J2"/>
    <mergeCell ref="A1:A2"/>
    <mergeCell ref="B1:B2"/>
    <mergeCell ref="C1:C2"/>
    <mergeCell ref="D1:D2"/>
    <mergeCell ref="E1:E2"/>
    <mergeCell ref="F1:F2"/>
    <mergeCell ref="I1:I2"/>
    <mergeCell ref="Z1:AB1"/>
    <mergeCell ref="K1:K2"/>
    <mergeCell ref="L1:L2"/>
    <mergeCell ref="M1:M2"/>
    <mergeCell ref="R1:R2"/>
    <mergeCell ref="S1:S2"/>
    <mergeCell ref="T1:V1"/>
    <mergeCell ref="N1:Q1"/>
    <mergeCell ref="W1:Y1"/>
  </mergeCells>
  <conditionalFormatting sqref="B3">
    <cfRule type="containsText" dxfId="4" priority="1" operator="containsText" text="Concluída">
      <formula>NOT(ISERROR(SEARCH("Concluída",B3)))</formula>
    </cfRule>
    <cfRule type="containsText" dxfId="3" priority="2" operator="containsText" text="concluída">
      <formula>NOT(ISERROR(SEARCH("concluída",B3)))</formula>
    </cfRule>
    <cfRule type="containsText" dxfId="2" priority="3" operator="containsText" text="andamento">
      <formula>NOT(ISERROR(SEARCH("andamento",B3)))</formula>
    </cfRule>
    <cfRule type="containsText" dxfId="1" priority="4" operator="containsText" text="pendente">
      <formula>NOT(ISERROR(SEARCH("pendente",B3)))</formula>
    </cfRule>
    <cfRule type="containsText" dxfId="0" priority="5" operator="containsText" text="elaborar">
      <formula>NOT(ISERROR(SEARCH("elaborar",B3)))</formula>
    </cfRule>
  </conditionalFormatting>
  <dataValidations count="5">
    <dataValidation type="list" allowBlank="1" showInputMessage="1" showErrorMessage="1" sqref="I3" xr:uid="{1E1FCDF3-1499-421D-9E74-F3F97A7009DA}">
      <formula1>"1,2,3,4,5,6"</formula1>
    </dataValidation>
    <dataValidation type="list" allowBlank="1" showInputMessage="1" showErrorMessage="1" sqref="B1:B3" xr:uid="{89F16430-12EE-4087-83CE-72AC119606D3}">
      <formula1>"A elaborar, Em andamento, Pendente de informação, Concluída, Próxima remessa, Revisar Ficha"</formula1>
    </dataValidation>
    <dataValidation type="list" allowBlank="1" showInputMessage="1" showErrorMessage="1" sqref="G3" xr:uid="{FED5A440-6335-4181-8F25-63E73377A12E}">
      <formula1>"Plano de Ação, Produto Novo"</formula1>
    </dataValidation>
    <dataValidation allowBlank="1" showInputMessage="1" showErrorMessage="1" sqref="J1:J2" xr:uid="{2DF2B3CA-BD28-4EAE-B156-6910A674C93D}"/>
    <dataValidation type="list" allowBlank="1" showInputMessage="1" showErrorMessage="1" sqref="H3" xr:uid="{9ABB9B45-B717-44DF-A8D1-D1FAAF3BF5FA}">
      <formula1>"1,2,3,4,5,6,7,8"</formula1>
    </dataValidation>
  </dataValidation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7EE74678CDAA749BF87014A2B4560BF" ma:contentTypeVersion="16" ma:contentTypeDescription="Create a new document." ma:contentTypeScope="" ma:versionID="d027820d0036d222697a6ff7b3f5c47a">
  <xsd:schema xmlns:xsd="http://www.w3.org/2001/XMLSchema" xmlns:xs="http://www.w3.org/2001/XMLSchema" xmlns:p="http://schemas.microsoft.com/office/2006/metadata/properties" xmlns:ns2="31067d2d-e48e-4508-aa64-80d1f142e7dc" xmlns:ns3="ee1a5240-fbb3-422c-a5c8-d7a8e3758d68" targetNamespace="http://schemas.microsoft.com/office/2006/metadata/properties" ma:root="true" ma:fieldsID="a4c4f1818ba5fd5562b618916876c884" ns2:_="" ns3:_="">
    <xsd:import namespace="31067d2d-e48e-4508-aa64-80d1f142e7dc"/>
    <xsd:import namespace="ee1a5240-fbb3-422c-a5c8-d7a8e3758d6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element ref="ns2:Status" minOccurs="0"/>
                <xsd:element ref="ns2:AUL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067d2d-e48e-4508-aa64-80d1f142e7d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Status" ma:index="22" nillable="true" ma:displayName="Status " ma:format="Dropdown" ma:internalName="Status">
      <xsd:simpleType>
        <xsd:restriction base="dms:Choice">
          <xsd:enumeration value="Aberto "/>
          <xsd:enumeration value="2º semestre"/>
          <xsd:enumeration value="2º semestre "/>
        </xsd:restriction>
      </xsd:simpleType>
    </xsd:element>
    <xsd:element name="AULA" ma:index="23" nillable="true" ma:displayName="AULA" ma:format="Dropdown" ma:internalName="AULA">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e1a5240-fbb3-422c-a5c8-d7a8e3758d6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a574430-d1ae-4d86-99fa-422eed317918}" ma:internalName="TaxCatchAll" ma:showField="CatchAllData" ma:web="ee1a5240-fbb3-422c-a5c8-d7a8e3758d6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31067d2d-e48e-4508-aa64-80d1f142e7dc" xsi:nil="true"/>
    <lcf76f155ced4ddcb4097134ff3c332f xmlns="31067d2d-e48e-4508-aa64-80d1f142e7dc">
      <Terms xmlns="http://schemas.microsoft.com/office/infopath/2007/PartnerControls"/>
    </lcf76f155ced4ddcb4097134ff3c332f>
    <TaxCatchAll xmlns="ee1a5240-fbb3-422c-a5c8-d7a8e3758d68" xsi:nil="true"/>
    <AULA xmlns="31067d2d-e48e-4508-aa64-80d1f142e7dc" xsi:nil="true"/>
  </documentManagement>
</p:properties>
</file>

<file path=customXml/itemProps1.xml><?xml version="1.0" encoding="utf-8"?>
<ds:datastoreItem xmlns:ds="http://schemas.openxmlformats.org/officeDocument/2006/customXml" ds:itemID="{1026D056-C258-4621-818E-7608477D7483}">
  <ds:schemaRefs>
    <ds:schemaRef ds:uri="http://schemas.microsoft.com/sharepoint/v3/contenttype/forms"/>
  </ds:schemaRefs>
</ds:datastoreItem>
</file>

<file path=customXml/itemProps2.xml><?xml version="1.0" encoding="utf-8"?>
<ds:datastoreItem xmlns:ds="http://schemas.openxmlformats.org/officeDocument/2006/customXml" ds:itemID="{62C644A1-8097-4193-A69C-4DA6767B3E1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067d2d-e48e-4508-aa64-80d1f142e7dc"/>
    <ds:schemaRef ds:uri="ee1a5240-fbb3-422c-a5c8-d7a8e3758d6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76A815-E8FB-4811-A9CF-9B9773A8FDFC}">
  <ds:schemaRefs>
    <ds:schemaRef ds:uri="http://schemas.microsoft.com/office/2006/metadata/properties"/>
    <ds:schemaRef ds:uri="http://schemas.microsoft.com/office/infopath/2007/PartnerControls"/>
    <ds:schemaRef ds:uri="31067d2d-e48e-4508-aa64-80d1f142e7dc"/>
    <ds:schemaRef ds:uri="ee1a5240-fbb3-422c-a5c8-d7a8e3758d6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Instruções</vt:lpstr>
      <vt:lpstr>Resumo</vt:lpstr>
      <vt:lpstr>Todos produtos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Vanessa Rodriguez Lara</dc:creator>
  <cp:lastModifiedBy>Vanessa Lara</cp:lastModifiedBy>
  <dcterms:created xsi:type="dcterms:W3CDTF">2026-06-09T18:54:57Z</dcterms:created>
  <dcterms:modified xsi:type="dcterms:W3CDTF">2026-07-10T05:29:34Z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0x010100E7EE74678CDAA749BF87014A2B4560BF</vt:lpwstr>
  </property>
  <property fmtid="{D5CDD505-2E9C-101B-9397-08002B2CF9AE}" pid="3" name="MediaServiceImageTags">
    <vt:lpwstr/>
  </property>
</Properties>
</file>