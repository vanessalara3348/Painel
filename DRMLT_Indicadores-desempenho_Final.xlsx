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governosp.sharepoint.com/teams/DETRAN-CoordenadoriadeSeguranaViria/Shared Documents/DSV-CGSV - COST - DRML/3. Produção/1. Projetos Estratégicos/1. PSV/2. Monitoramento/9. Painel/Bases/"/>
    </mc:Choice>
  </mc:AlternateContent>
  <xr:revisionPtr revIDLastSave="663" documentId="11_4BC2B58C6C7465FBB268A2EBDBB67864AD078E98" xr6:coauthVersionLast="47" xr6:coauthVersionMax="47" xr10:uidLastSave="{565DDE9F-2EE7-4510-9AE9-B9DAE8279EB0}"/>
  <bookViews>
    <workbookView xWindow="-120" yWindow="-120" windowWidth="29040" windowHeight="15720" xr2:uid="{00000000-000D-0000-FFFF-FFFF00000000}"/>
  </bookViews>
  <sheets>
    <sheet name="Indicadores de desempenho" sheetId="2" r:id="rId1"/>
  </sheets>
  <definedNames>
    <definedName name="_xlnm._FilterDatabase" localSheetId="0" hidden="1">'Indicadores de desempenho'!$A$1:$J$53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oYozqkEV6NnviiSnbWb1EFH00Gzjo2NegkM3TjHRRlI="/>
    </ext>
  </extLst>
</workbook>
</file>

<file path=xl/calcChain.xml><?xml version="1.0" encoding="utf-8"?>
<calcChain xmlns="http://schemas.openxmlformats.org/spreadsheetml/2006/main">
  <c r="S15" i="2" l="1"/>
  <c r="S16" i="2"/>
  <c r="S17" i="2"/>
  <c r="S18" i="2"/>
  <c r="S19" i="2"/>
  <c r="S20" i="2"/>
  <c r="S14" i="2"/>
  <c r="S42" i="2"/>
  <c r="S43" i="2"/>
  <c r="S44" i="2"/>
  <c r="S45" i="2"/>
  <c r="S41" i="2"/>
  <c r="S47" i="2"/>
  <c r="S48" i="2"/>
  <c r="S49" i="2"/>
  <c r="S50" i="2"/>
  <c r="S51" i="2"/>
  <c r="S52" i="2"/>
  <c r="S46" i="2"/>
  <c r="S9" i="2"/>
  <c r="S10" i="2"/>
  <c r="S11" i="2"/>
  <c r="S12" i="2"/>
  <c r="S13" i="2"/>
  <c r="S8" i="2"/>
  <c r="S29" i="2"/>
  <c r="S30" i="2"/>
  <c r="S31" i="2"/>
  <c r="S32" i="2"/>
  <c r="S33" i="2"/>
  <c r="S28" i="2"/>
  <c r="S35" i="2"/>
  <c r="S36" i="2"/>
  <c r="S37" i="2"/>
  <c r="S38" i="2"/>
  <c r="S39" i="2"/>
  <c r="S40" i="2"/>
  <c r="S34" i="2"/>
  <c r="S3" i="2"/>
  <c r="S4" i="2"/>
  <c r="S5" i="2"/>
  <c r="S6" i="2"/>
  <c r="S7" i="2"/>
  <c r="S2" i="2"/>
  <c r="R18" i="2"/>
  <c r="R46" i="2"/>
  <c r="R47" i="2"/>
  <c r="Q3" i="2"/>
  <c r="R3" i="2" s="1"/>
  <c r="Q4" i="2"/>
  <c r="R4" i="2" s="1"/>
  <c r="Q5" i="2"/>
  <c r="R5" i="2" s="1"/>
  <c r="Q6" i="2"/>
  <c r="R6" i="2" s="1"/>
  <c r="Q7" i="2"/>
  <c r="R7" i="2" s="1"/>
  <c r="Q8" i="2"/>
  <c r="R8" i="2" s="1"/>
  <c r="Q9" i="2"/>
  <c r="R9" i="2" s="1"/>
  <c r="Q10" i="2"/>
  <c r="R10" i="2" s="1"/>
  <c r="Q11" i="2"/>
  <c r="R11" i="2" s="1"/>
  <c r="Q12" i="2"/>
  <c r="R12" i="2" s="1"/>
  <c r="Q13" i="2"/>
  <c r="R13" i="2" s="1"/>
  <c r="Q14" i="2"/>
  <c r="R14" i="2" s="1"/>
  <c r="Q15" i="2"/>
  <c r="R15" i="2" s="1"/>
  <c r="Q16" i="2"/>
  <c r="R16" i="2" s="1"/>
  <c r="Q17" i="2"/>
  <c r="R17" i="2" s="1"/>
  <c r="Q18" i="2"/>
  <c r="Q19" i="2"/>
  <c r="R19" i="2" s="1"/>
  <c r="Q20" i="2"/>
  <c r="R20" i="2" s="1"/>
  <c r="Q21" i="2"/>
  <c r="R21" i="2" s="1"/>
  <c r="Q22" i="2"/>
  <c r="R22" i="2" s="1"/>
  <c r="Q23" i="2"/>
  <c r="R23" i="2" s="1"/>
  <c r="Q24" i="2"/>
  <c r="R24" i="2" s="1"/>
  <c r="Q25" i="2"/>
  <c r="R25" i="2" s="1"/>
  <c r="Q26" i="2"/>
  <c r="R26" i="2" s="1"/>
  <c r="Q27" i="2"/>
  <c r="R27" i="2" s="1"/>
  <c r="Q28" i="2"/>
  <c r="R28" i="2" s="1"/>
  <c r="Q29" i="2"/>
  <c r="R29" i="2" s="1"/>
  <c r="Q30" i="2"/>
  <c r="R30" i="2" s="1"/>
  <c r="Q31" i="2"/>
  <c r="R31" i="2" s="1"/>
  <c r="Q32" i="2"/>
  <c r="R32" i="2" s="1"/>
  <c r="Q33" i="2"/>
  <c r="R33" i="2" s="1"/>
  <c r="Q34" i="2"/>
  <c r="R34" i="2" s="1"/>
  <c r="Q35" i="2"/>
  <c r="R35" i="2" s="1"/>
  <c r="Q36" i="2"/>
  <c r="R36" i="2" s="1"/>
  <c r="Q37" i="2"/>
  <c r="R37" i="2" s="1"/>
  <c r="Q38" i="2"/>
  <c r="R38" i="2" s="1"/>
  <c r="Q39" i="2"/>
  <c r="R39" i="2" s="1"/>
  <c r="Q40" i="2"/>
  <c r="R40" i="2" s="1"/>
  <c r="Q41" i="2"/>
  <c r="R41" i="2" s="1"/>
  <c r="Q42" i="2"/>
  <c r="R42" i="2" s="1"/>
  <c r="Q43" i="2"/>
  <c r="R43" i="2" s="1"/>
  <c r="Q44" i="2"/>
  <c r="R44" i="2" s="1"/>
  <c r="Q45" i="2"/>
  <c r="R45" i="2" s="1"/>
  <c r="Q46" i="2"/>
  <c r="Q47" i="2"/>
  <c r="Q48" i="2"/>
  <c r="R48" i="2" s="1"/>
  <c r="Q49" i="2"/>
  <c r="R49" i="2" s="1"/>
  <c r="Q50" i="2"/>
  <c r="R50" i="2" s="1"/>
  <c r="Q51" i="2"/>
  <c r="R51" i="2" s="1"/>
  <c r="Q52" i="2"/>
  <c r="R52" i="2" s="1"/>
  <c r="Q2" i="2"/>
  <c r="R2" i="2" s="1"/>
  <c r="L51" i="2"/>
  <c r="L52" i="2"/>
  <c r="L47" i="2"/>
  <c r="L48" i="2"/>
  <c r="L49" i="2"/>
  <c r="L50" i="2"/>
  <c r="L46" i="2"/>
  <c r="L43" i="2"/>
  <c r="L44" i="2"/>
  <c r="L45" i="2"/>
  <c r="L34" i="2"/>
  <c r="L35" i="2"/>
  <c r="L36" i="2"/>
  <c r="L37" i="2"/>
  <c r="L38" i="2"/>
  <c r="L39" i="2"/>
  <c r="L40" i="2"/>
  <c r="L41" i="2"/>
  <c r="L42" i="2"/>
  <c r="L28" i="2"/>
  <c r="L29" i="2"/>
  <c r="L30" i="2"/>
  <c r="L31" i="2"/>
  <c r="L32" i="2"/>
  <c r="L33" i="2"/>
  <c r="L21" i="2"/>
  <c r="L22" i="2"/>
  <c r="L23" i="2"/>
  <c r="L24" i="2"/>
  <c r="L25" i="2"/>
  <c r="L26" i="2"/>
  <c r="L27" i="2"/>
  <c r="L19" i="2"/>
  <c r="L20" i="2"/>
  <c r="L14" i="2"/>
  <c r="L15" i="2"/>
  <c r="L16" i="2"/>
  <c r="L17" i="2"/>
  <c r="L18" i="2"/>
  <c r="L8" i="2"/>
  <c r="L9" i="2"/>
  <c r="L10" i="2"/>
  <c r="L11" i="2"/>
  <c r="L12" i="2"/>
  <c r="L13" i="2"/>
  <c r="L3" i="2"/>
  <c r="L4" i="2"/>
  <c r="L5" i="2"/>
  <c r="L6" i="2"/>
  <c r="L7" i="2"/>
  <c r="L2" i="2"/>
  <c r="K2" i="2"/>
  <c r="S53" i="2" l="1"/>
  <c r="T33" i="2" s="1"/>
  <c r="U33" i="2" s="1"/>
  <c r="R53" i="2"/>
  <c r="T37" i="2" l="1"/>
  <c r="U37" i="2" s="1"/>
  <c r="T50" i="2"/>
  <c r="U50" i="2" s="1"/>
  <c r="T39" i="2"/>
  <c r="U39" i="2" s="1"/>
  <c r="T24" i="2"/>
  <c r="U24" i="2" s="1"/>
  <c r="T25" i="2"/>
  <c r="U25" i="2" s="1"/>
  <c r="T28" i="2"/>
  <c r="U28" i="2" s="1"/>
  <c r="T26" i="2"/>
  <c r="U26" i="2" s="1"/>
  <c r="T27" i="2"/>
  <c r="U27" i="2" s="1"/>
  <c r="T52" i="2"/>
  <c r="U52" i="2" s="1"/>
  <c r="T23" i="2"/>
  <c r="U23" i="2" s="1"/>
  <c r="T16" i="2"/>
  <c r="U16" i="2" s="1"/>
  <c r="T11" i="2"/>
  <c r="U11" i="2" s="1"/>
  <c r="T21" i="2"/>
  <c r="U21" i="2" s="1"/>
  <c r="T35" i="2"/>
  <c r="U35" i="2" s="1"/>
  <c r="T10" i="2"/>
  <c r="U10" i="2" s="1"/>
  <c r="T22" i="2"/>
  <c r="U22" i="2" s="1"/>
  <c r="T34" i="2"/>
  <c r="U34" i="2" s="1"/>
  <c r="T46" i="2"/>
  <c r="U46" i="2" s="1"/>
  <c r="T47" i="2"/>
  <c r="U47" i="2" s="1"/>
  <c r="T31" i="2"/>
  <c r="U31" i="2" s="1"/>
  <c r="T41" i="2"/>
  <c r="U41" i="2" s="1"/>
  <c r="T15" i="2"/>
  <c r="U15" i="2" s="1"/>
  <c r="T4" i="2"/>
  <c r="U4" i="2" s="1"/>
  <c r="T17" i="2"/>
  <c r="U17" i="2" s="1"/>
  <c r="T8" i="2"/>
  <c r="U8" i="2" s="1"/>
  <c r="T19" i="2"/>
  <c r="U19" i="2" s="1"/>
  <c r="T40" i="2"/>
  <c r="U40" i="2" s="1"/>
  <c r="T51" i="2"/>
  <c r="U51" i="2" s="1"/>
  <c r="T9" i="2"/>
  <c r="U9" i="2" s="1"/>
  <c r="T38" i="2"/>
  <c r="U38" i="2" s="1"/>
  <c r="T32" i="2"/>
  <c r="U32" i="2" s="1"/>
  <c r="T45" i="2"/>
  <c r="U45" i="2" s="1"/>
  <c r="T48" i="2"/>
  <c r="U48" i="2" s="1"/>
  <c r="T5" i="2"/>
  <c r="U5" i="2" s="1"/>
  <c r="T14" i="2"/>
  <c r="U14" i="2" s="1"/>
  <c r="T29" i="2"/>
  <c r="U29" i="2" s="1"/>
  <c r="T20" i="2"/>
  <c r="U20" i="2" s="1"/>
  <c r="T7" i="2"/>
  <c r="U7" i="2" s="1"/>
  <c r="T49" i="2"/>
  <c r="U49" i="2" s="1"/>
  <c r="T6" i="2"/>
  <c r="U6" i="2" s="1"/>
  <c r="T36" i="2"/>
  <c r="U36" i="2" s="1"/>
  <c r="T30" i="2"/>
  <c r="U30" i="2" s="1"/>
  <c r="T42" i="2"/>
  <c r="U42" i="2" s="1"/>
  <c r="T44" i="2"/>
  <c r="U44" i="2" s="1"/>
  <c r="T3" i="2"/>
  <c r="U3" i="2" s="1"/>
  <c r="T2" i="2"/>
  <c r="U2" i="2" s="1"/>
  <c r="T12" i="2"/>
  <c r="U12" i="2" s="1"/>
  <c r="T18" i="2"/>
  <c r="U18" i="2" s="1"/>
  <c r="T43" i="2"/>
  <c r="U43" i="2" s="1"/>
  <c r="T13" i="2"/>
  <c r="U13" i="2" s="1"/>
  <c r="M3" i="2"/>
  <c r="M4" i="2"/>
  <c r="M5" i="2"/>
  <c r="M6" i="2"/>
  <c r="M7" i="2"/>
  <c r="M8" i="2"/>
  <c r="N8" i="2" s="1"/>
  <c r="P8" i="2" s="1"/>
  <c r="M9" i="2"/>
  <c r="M10" i="2"/>
  <c r="M11" i="2"/>
  <c r="M12" i="2"/>
  <c r="M13" i="2"/>
  <c r="N13" i="2" s="1"/>
  <c r="P13" i="2" s="1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N36" i="2" s="1"/>
  <c r="P36" i="2" s="1"/>
  <c r="M37" i="2"/>
  <c r="M38" i="2"/>
  <c r="M39" i="2"/>
  <c r="M40" i="2"/>
  <c r="M41" i="2"/>
  <c r="M42" i="2"/>
  <c r="M43" i="2"/>
  <c r="N43" i="2" s="1"/>
  <c r="P43" i="2" s="1"/>
  <c r="M44" i="2"/>
  <c r="M45" i="2"/>
  <c r="M46" i="2"/>
  <c r="M47" i="2"/>
  <c r="M48" i="2"/>
  <c r="M49" i="2"/>
  <c r="M50" i="2"/>
  <c r="N50" i="2" s="1"/>
  <c r="P50" i="2" s="1"/>
  <c r="M51" i="2"/>
  <c r="M52" i="2"/>
  <c r="M2" i="2"/>
  <c r="N2" i="2" s="1"/>
  <c r="P2" i="2" s="1"/>
  <c r="K37" i="2"/>
  <c r="K38" i="2"/>
  <c r="K36" i="2"/>
  <c r="K22" i="2"/>
  <c r="K23" i="2"/>
  <c r="K21" i="2"/>
  <c r="N21" i="2" s="1"/>
  <c r="P21" i="2" s="1"/>
  <c r="K15" i="2"/>
  <c r="K16" i="2"/>
  <c r="K14" i="2"/>
  <c r="N14" i="2" s="1"/>
  <c r="P14" i="2" s="1"/>
  <c r="K9" i="2"/>
  <c r="K10" i="2"/>
  <c r="K8" i="2"/>
  <c r="K4" i="2"/>
  <c r="K5" i="2"/>
  <c r="N5" i="2" s="1"/>
  <c r="P5" i="2" s="1"/>
  <c r="K6" i="2"/>
  <c r="N6" i="2" s="1"/>
  <c r="P6" i="2" s="1"/>
  <c r="K7" i="2"/>
  <c r="N7" i="2" s="1"/>
  <c r="P7" i="2" s="1"/>
  <c r="K11" i="2"/>
  <c r="K12" i="2"/>
  <c r="K17" i="2"/>
  <c r="N17" i="2" s="1"/>
  <c r="P17" i="2" s="1"/>
  <c r="K18" i="2"/>
  <c r="K19" i="2"/>
  <c r="K20" i="2"/>
  <c r="K24" i="2"/>
  <c r="K25" i="2"/>
  <c r="K26" i="2"/>
  <c r="K27" i="2"/>
  <c r="K28" i="2"/>
  <c r="K29" i="2"/>
  <c r="N29" i="2" s="1"/>
  <c r="P29" i="2" s="1"/>
  <c r="K30" i="2"/>
  <c r="N30" i="2" s="1"/>
  <c r="P30" i="2" s="1"/>
  <c r="K31" i="2"/>
  <c r="N31" i="2" s="1"/>
  <c r="P31" i="2" s="1"/>
  <c r="K32" i="2"/>
  <c r="N32" i="2" s="1"/>
  <c r="P32" i="2" s="1"/>
  <c r="K33" i="2"/>
  <c r="K34" i="2"/>
  <c r="K35" i="2"/>
  <c r="K39" i="2"/>
  <c r="N39" i="2" s="1"/>
  <c r="P39" i="2" s="1"/>
  <c r="K40" i="2"/>
  <c r="K41" i="2"/>
  <c r="N41" i="2" s="1"/>
  <c r="P41" i="2" s="1"/>
  <c r="K42" i="2"/>
  <c r="N42" i="2" s="1"/>
  <c r="P42" i="2" s="1"/>
  <c r="K44" i="2"/>
  <c r="N44" i="2" s="1"/>
  <c r="P44" i="2" s="1"/>
  <c r="K45" i="2"/>
  <c r="K46" i="2"/>
  <c r="N46" i="2" s="1"/>
  <c r="P46" i="2" s="1"/>
  <c r="K47" i="2"/>
  <c r="N47" i="2" s="1"/>
  <c r="P47" i="2" s="1"/>
  <c r="K48" i="2"/>
  <c r="N48" i="2" s="1"/>
  <c r="P48" i="2" s="1"/>
  <c r="K49" i="2"/>
  <c r="N49" i="2" s="1"/>
  <c r="P49" i="2" s="1"/>
  <c r="K51" i="2"/>
  <c r="K52" i="2"/>
  <c r="K3" i="2"/>
  <c r="N3" i="2" s="1"/>
  <c r="P3" i="2" s="1"/>
  <c r="N26" i="2" l="1"/>
  <c r="P26" i="2" s="1"/>
  <c r="N45" i="2"/>
  <c r="P45" i="2" s="1"/>
  <c r="N38" i="2"/>
  <c r="P38" i="2" s="1"/>
  <c r="N18" i="2"/>
  <c r="P18" i="2" s="1"/>
  <c r="N37" i="2"/>
  <c r="P37" i="2" s="1"/>
  <c r="N25" i="2"/>
  <c r="P25" i="2" s="1"/>
  <c r="N16" i="2"/>
  <c r="P16" i="2" s="1"/>
  <c r="N24" i="2"/>
  <c r="P24" i="2" s="1"/>
  <c r="N12" i="2"/>
  <c r="P12" i="2" s="1"/>
  <c r="N34" i="2"/>
  <c r="P34" i="2" s="1"/>
  <c r="N10" i="2"/>
  <c r="P10" i="2" s="1"/>
  <c r="N15" i="2"/>
  <c r="P15" i="2" s="1"/>
  <c r="N11" i="2"/>
  <c r="P11" i="2" s="1"/>
  <c r="N33" i="2"/>
  <c r="P33" i="2" s="1"/>
  <c r="N9" i="2"/>
  <c r="P9" i="2" s="1"/>
  <c r="N23" i="2"/>
  <c r="P23" i="2" s="1"/>
  <c r="N20" i="2"/>
  <c r="P20" i="2" s="1"/>
  <c r="N35" i="2"/>
  <c r="P35" i="2" s="1"/>
  <c r="N19" i="2"/>
  <c r="P19" i="2" s="1"/>
  <c r="U53" i="2"/>
  <c r="N27" i="2"/>
  <c r="P27" i="2" s="1"/>
  <c r="N52" i="2"/>
  <c r="P52" i="2" s="1"/>
  <c r="N51" i="2"/>
  <c r="P51" i="2" s="1"/>
  <c r="N22" i="2"/>
  <c r="P22" i="2" s="1"/>
  <c r="N28" i="2"/>
  <c r="P28" i="2" s="1"/>
  <c r="N4" i="2"/>
  <c r="P4" i="2" s="1"/>
  <c r="N40" i="2"/>
  <c r="P40" i="2" s="1"/>
  <c r="P53" i="2" l="1"/>
</calcChain>
</file>

<file path=xl/sharedStrings.xml><?xml version="1.0" encoding="utf-8"?>
<sst xmlns="http://schemas.openxmlformats.org/spreadsheetml/2006/main" count="481" uniqueCount="328">
  <si>
    <t>O que mede</t>
  </si>
  <si>
    <t>Fórmula</t>
  </si>
  <si>
    <t>Fonte</t>
  </si>
  <si>
    <t>Periodicidade</t>
  </si>
  <si>
    <t>Fortalecimento da governança e institucionalização da segurança viária</t>
  </si>
  <si>
    <t>1.1.a</t>
  </si>
  <si>
    <t>Índice de maturidade da governança do PSV-SP</t>
  </si>
  <si>
    <t>Avalia o grau de consolidação da estrutura de governança estadual da segurança viária, considerando a formalização, a transparência e a regularidade dos instrumentos que sustentam o funcionamento do Sistran-SP e do PSV-SP.
Os “requisitos de governança” correspondem aos elementos institucionais essenciais, definidos pelo próprio Estado, como: regimento interno do Sistran-SP, calendário anual de reuniões, instituição e regimento do Comitê Gestor, base normativa atualizada, relatórios anuais de acompanhamento e atas publicadas.</t>
  </si>
  <si>
    <t>(nº de requisitos cumpridos ÷ nº total de requisitos definidos) × 100</t>
  </si>
  <si>
    <t xml:space="preserve">Portal Sistran-SP e Diário Oficial do Estado (atos, regimentos, relatórios e atas)
</t>
  </si>
  <si>
    <t>Anual</t>
  </si>
  <si>
    <t>1.1.b</t>
  </si>
  <si>
    <t>Integração do PSV-SP nos instrumentos de governo</t>
  </si>
  <si>
    <t>(nº de órgãos do Sistran-SP com metas ou indicadores do PSV-SP incorporados a instrumentos oficiais ÷ nº total de órgãos do Sistran-SP) × 100</t>
  </si>
  <si>
    <t>PPA, LDO, LOA e planos setoriais do Governo do Estado; planos setoriais; relatórios de gestão publicados; consolidação pelo Cetran-SP no Portal Sistran-SP</t>
  </si>
  <si>
    <t>Financiamento sustentável e custo-efetivo da segurança viária</t>
  </si>
  <si>
    <t>1.2.a</t>
  </si>
  <si>
    <t>Cobertura de critérios técnico-evidenciais nos repasses estaduais</t>
  </si>
  <si>
    <t>(nº de instrumentos de repasse com critérios técnico-evidenciais ÷ nº total de instrumentos de repasse em segurança viária publicados no período) × 100</t>
  </si>
  <si>
    <t>Detran-SP, Cetran-SP e Casa Civil (editais, parcerias e termos de cooperação); publicações e registros disponíveis no Portal SISTRAN-SP</t>
  </si>
  <si>
    <t>1.2.b</t>
  </si>
  <si>
    <t>Sustentabilidade financeira da política estadual de segurança viária</t>
  </si>
  <si>
    <t>(nº de exercícios com dotação específica para segurança viária ÷ nº total de exercícios no período acumulado de análise) × 100</t>
  </si>
  <si>
    <t>PPA, LDO e LOA; Portal da Transparência; consolidação pelo Cetran-SP e Detran-SP</t>
  </si>
  <si>
    <t>Promoção do compromisso político e da corresponsabilidade interinstitucional</t>
  </si>
  <si>
    <t>1.3.a</t>
  </si>
  <si>
    <t>Cobertura territorial das ações de segurança viária</t>
  </si>
  <si>
    <t>(população dos municípios aderentes ÷ população total do Estado) × 100</t>
  </si>
  <si>
    <t>SISTRAN-SP / CETRAN-SP e estimativas populacionais do IBGE/SEADE</t>
  </si>
  <si>
    <t>1.3.b</t>
  </si>
  <si>
    <t>Municípios com Plano ou Estratégia Abrangente de Segurança Viária vigente</t>
  </si>
  <si>
    <t>(nº de municípios com plano ou estratégia abrangente de segurança viária vigente ÷ nº total de municípios do Estado) × 100</t>
  </si>
  <si>
    <t>Levantamento estadual do SISTRAN-SP, validado com dados municipais e relatórios públicos</t>
  </si>
  <si>
    <t>Governança da gestão de dados de segurança viária</t>
  </si>
  <si>
    <t>2.1.a</t>
  </si>
  <si>
    <t>Adoção do aplicativo estadual de registro de sinistros de trânsito pelos órgãos da segurança pública</t>
  </si>
  <si>
    <t>Mede o grau de adoção do aplicativo estadual de registro de sinistros de trânsito pelos órgãos da segurança pública, refletindo o avanço na padronização e modernização da coleta de dados sobre sinistros com vítimas</t>
  </si>
  <si>
    <t>(nº de órgãos de segurança que implementaram o aplicativo ÷ total de órgãos de segurança) × 100</t>
  </si>
  <si>
    <t>Levantamento DSV (Detran-SP)</t>
  </si>
  <si>
    <t>2.1.b</t>
  </si>
  <si>
    <t>Uso do aplicativo estadual de registro de sinistros de trânsito na coleta de dados de sinistros com vítimas</t>
  </si>
  <si>
    <t>Mede o grau de utilização efetiva do aplicativo estadual de registro de sinistros de trânsito na coleta de dados de sinistros com vítimas, refletindo a proporção de registros realizados por meio do aplicativo em relação ao total de sinistros registrados. O indicador permite avaliar o impacto do aplicativo na padronização e confiabilidade das informações coletadas.</t>
  </si>
  <si>
    <t>(nº de registros feitos no aplicativo ÷ total de registros de sinistros) × 100</t>
  </si>
  <si>
    <t>2.1.c</t>
  </si>
  <si>
    <t>Regularidade de envio de dados municipais ao Infosiga</t>
  </si>
  <si>
    <t>Mede o grau de corresponsabilidade dos municípios na gestão da informação, verificando o percentual de municípios que cumprem integralmente os prazos e critérios de atualização de dados no Infosiga. O cumprimento regular desses prazos é essencial para assegurar decisões baseadas em evidências.</t>
  </si>
  <si>
    <t>(nº de municípios com 100% dos envios no prazo ÷ total de municípios participantes) × 100</t>
  </si>
  <si>
    <t>Infosiga; consolidação Cetran-SP / Detran-SP</t>
  </si>
  <si>
    <t>Mensal (com consolidação anual)</t>
  </si>
  <si>
    <t>Qualificação e integração dos dados de segurança viária</t>
  </si>
  <si>
    <t>2.2.a</t>
  </si>
  <si>
    <t>Bases de dados externas integradas ao Infosiga</t>
  </si>
  <si>
    <t>Mede o grau de integração de bases de dados externas relevantes ao Infosiga, refletindo a ampliação da capacidade de análise e gestão estratégica da segurança viária no Estado</t>
  </si>
  <si>
    <t>(nº de bases de dados externas integradas ao Infosiga ÷ total de bases de dados externas identificadas como relevantes) × 100</t>
  </si>
  <si>
    <t>Infosiga; consolidação Detran-SP</t>
  </si>
  <si>
    <t>2.2.b</t>
  </si>
  <si>
    <t>Dados de segurança viária com completude e consistência no Infosiga</t>
  </si>
  <si>
    <t>Mede a proporção de registros de segurança viária no Infosiga que passaram por verificação automatizada de completude e consistência e tiveram inconformidades resolvidas, refletindo a confiabilidade e qualidade dos dados para suporte à gestão da segurança viária</t>
  </si>
  <si>
    <t>(nº de registros com completude e consistência verificadas e inconformidades resolvidas ÷ total de registros no Infosiga) × 100</t>
  </si>
  <si>
    <t>Produção e divulgação de análises e evidências para gestão baseada em risco e inovação</t>
  </si>
  <si>
    <t>2.3.A</t>
  </si>
  <si>
    <t>Ações de segurança viária avaliadas com metodologias de avaliação de impacto</t>
  </si>
  <si>
    <t>Mede a proporção de ações de segurança viária do Estado que são acompanhadas por metodologias formais de avaliação de impacto, refletindo a capacidade de gerar evidências sobre a efetividade das intervenções e subsidiar decisões estratégicas para a redução de sinistros e proteção de usuários vulneráveis</t>
  </si>
  <si>
    <t>(nº de ações com avaliação de impacto aplicada ÷ total de ações de segurança viária implementadas no período) × 100</t>
  </si>
  <si>
    <t>Estabelecimento de parâmetros e diretrizes estaduais de desenho viário seguro</t>
  </si>
  <si>
    <t>3.1.a</t>
  </si>
  <si>
    <t>Uso do Guia Técnico Estadual de Desenho Viário Seguro em projetos viários na malha urbana por municípios paulistas e órgãos estaduais</t>
  </si>
  <si>
    <t>Mede a adoção prática do Guia Técnico Estadual de Desenho Viário Seguro por municípios e órgãos estaduais, ou seja, a proporção de instituições que aplicam as diretrizes do guia em projetos urbanos. Mostra o quanto o guia está sendo efetivamente usado para orientar projetos viários que protejam usuários vulneráveis e promovam segurança nas vias urbanas.</t>
  </si>
  <si>
    <t>(n° de municípios e órgãos estaduais que atestam adotar o guia
em projetos ÷ total de municípios e órgãos estaduais-alvo) × 100</t>
  </si>
  <si>
    <t>Diagnóstico de Segurança Viária dos Municípios Paulistas (Detran-SP)</t>
  </si>
  <si>
    <t>A cada 3 anos</t>
  </si>
  <si>
    <t>3.1.b</t>
  </si>
  <si>
    <t>Indicadores de infraestrutura viária segura em contratos de concessão de rodovias estaduais</t>
  </si>
  <si>
    <t>Mede a proporção de contratos de concessão de rodovias estaduais que incluem o monitoramento de indicadores de infraestrutura viária segura. Mostra o quanto os contratos de concessão incorporam e acompanham medidas que promovem a segurança viária e protegem usuários vulneráveis, garantindo que a gestão privada siga parâmetros alinhados ao Sistema Seguro.</t>
  </si>
  <si>
    <t>(n° de contratos de concessão que possuem indicadores de
infraestrutura segura monitorados ÷ total de contratos de
concessão vigentes) × 100</t>
  </si>
  <si>
    <t xml:space="preserve">Levantamento ARTESP
</t>
  </si>
  <si>
    <t>3.1.c</t>
  </si>
  <si>
    <t>Indicadores de infraestrutura viária segura em contratos de manutenção de rodovias estaduais</t>
  </si>
  <si>
    <t>Mede a abrangência da adoção de indicadores de infraestrutura viária segura nos contratos de manutenção de rodovias estaduais, ou seja, a proporção de contratos que incluem metas ou métricas de segurança viária monitoradas. Mostra o quanto a gestão da manutenção considera e acompanha a implementação de medidas que reduzem riscos e protegem usuários vulneráveis.</t>
  </si>
  <si>
    <t>(n° de contratos de manutenção que possuem indicadores de infraestrutura segura monitorados ÷ total de contratos de manutenção vigentes) × 100</t>
  </si>
  <si>
    <t>Levantamento DER-SP</t>
  </si>
  <si>
    <t>Apoio ao desenvolvimento e implementação de intervenções viárias seguras em municípios e rodovias estaduais</t>
  </si>
  <si>
    <t>3.2.a</t>
  </si>
  <si>
    <t>Trechos críticos rodoviários tratados que apresentam pelo menos 3 estrelas iRAP para usuários vulneráveis</t>
  </si>
  <si>
    <t>Mede a proporção de pontos críticos em rodovias tratados cuja classificação iRAP para os modos vulneráveis (pedestres, ciclistas e motociclistas) aumentou para pelo menos 3 estrelas após 12 meses da intervenção.</t>
  </si>
  <si>
    <t>(n° pontos de críticos tratados que atingiram no mínimo 3 estrelas para todos os modos vulneráveis ÷ total de projetos viários com menos de 3 estrelas apoiados ou executados pelo Estado) × 100</t>
  </si>
  <si>
    <t>Avaliação iRAP/BrazilRap São Paulo</t>
  </si>
  <si>
    <t>3.2.b</t>
  </si>
  <si>
    <t>Projetos de desenho viário seguro na malha urbana apoiados ou executados pelo Estado localizados em pontos críticos ou de alto risco de sinistralidade</t>
  </si>
  <si>
    <t>Mede o quanto do apoio financeiro ou execução de projetos viários do Estado está concentrado em locais de maior risco, ou seja, a proporção de projetos localizados em pontos críticos de sinistralidade ou trechos com risco viário identificado. Mostra o foco do investimento estatal em locais onde há maior necessidade de reduzir sinistros graves e proteger usuários vulneráveis.</t>
  </si>
  <si>
    <t>(nº de projetos de desenho seguro em pontos críticos ou áreas de risco viário ÷ total de projetos viários apoiados ou executados pelo Estado​) × 100</t>
  </si>
  <si>
    <t>Dados dos Programas Respeito à Vida (Detran-SP) e Bairro Paulista (SDUH)</t>
  </si>
  <si>
    <t>Infraestrutura segura e integrada para mobilidade ativa, coletiva e sustentável</t>
  </si>
  <si>
    <t>3.3.a</t>
  </si>
  <si>
    <t>Implantação da malha de transporte coletivo (BRT, VLT, Metrô) em regiões de alta demanda e alta sinistralidade</t>
  </si>
  <si>
    <t xml:space="preserve">Mede a proporção da malha de transporte coletivo (BRT, VLT, Metrô) que foi implantada em regiões de alta demanda e com elevada sinistralidade, ou seja, quanto da expansão da malha priorizou áreas críticas para segurança e mobilidade. </t>
  </si>
  <si>
    <t>(extensão de trechos integrados em regiões de alta demanda e sinistralidade ÷ total de trechos integrados da malha​) × 100</t>
  </si>
  <si>
    <t>Levantamento STM; Origem e Destino; Infosiga</t>
  </si>
  <si>
    <t>A cada 5 anos</t>
  </si>
  <si>
    <t>3.3.b</t>
  </si>
  <si>
    <t>Implantação de ciclovias ou ciclofaixas em trechos rodoviários críticos</t>
  </si>
  <si>
    <t>Mede o quanto da extensão de trechos rodoviários críticos sob administração pública direta recebeu ciclovias ou ciclofaixas efetivamente implantadas, ou seja, a cobertura real de infraestrutura ciclável segura em locais de maior risco para ciclistas. Mostra o progresso da implementação de projetos que protegem ciclistas em pontos críticos da malha viária estadual.</t>
  </si>
  <si>
    <t>(extensão de trechos críticos com ciclovias/ciclofaixas implantadas ÷ total de trechos críticos para ciclistas sob administração pública direta​) × 100</t>
  </si>
  <si>
    <t>Levantamento SEMIL-SP/Ciclo Comitê Paulista (CCP)</t>
  </si>
  <si>
    <t>Educação para a segurança viária em todos os níveis de ensino e participação ativa de jovens</t>
  </si>
  <si>
    <t>4.1.a</t>
  </si>
  <si>
    <t>Educadores estaduais e municipais integrados à rede paulista de educadores em segurança viária</t>
  </si>
  <si>
    <t>Mede a capacidade do Estado de estruturar e articular profissionais para promover educação em segurança viária em âmbito escolar estadual e municipal</t>
  </si>
  <si>
    <t>(nº de educadores e articuladores integrados à rede ÷ total de educadores estaduais e municipais​) × 100</t>
  </si>
  <si>
    <t>Dados da rede paulista de educadores em segurança viária</t>
  </si>
  <si>
    <t>4.1.b</t>
  </si>
  <si>
    <t>Variação anual no número de inscrições na ação de Reconhecimento Estadual de Boas Práticas de Segurança Viária na Rede de Educação Superior</t>
  </si>
  <si>
    <t>Mede a evolução do engajamento dos pesquisadores, professores e instituições de educação superior com o tema da segurança viária ao longo do tempo, refletida pela variação anual no número de inscrições submetidas à ação</t>
  </si>
  <si>
    <t>[(nº de inscrições no ano corrente − nº de inscrições no ano anterior) ÷ nº de inscrições no ano anterior] x 100</t>
  </si>
  <si>
    <t>Dados do Reconhecimento Estadual de Boas Práticas de Segurança Viária na Rede de Educação Superior</t>
  </si>
  <si>
    <t>4.1.c</t>
  </si>
  <si>
    <t>Variação do interesse dos jovens em segurança viária antes e depois das ações de sensibilização</t>
  </si>
  <si>
    <t>Mede a variação no grau de interesse e conscientização de jovens sobre segurança viária antes e depois da aplicação de ações de sensibilização, refletindo a efetividade das atividades educativas em engajar o público-alvo</t>
  </si>
  <si>
    <t xml:space="preserve">[(taxa de interesse pós-atividade − taxa de interesse pré-atividade) ÷ taxa de interesse pré-atividade] x 100 </t>
  </si>
  <si>
    <t>Dados das atividades nas ações de sensibilização</t>
  </si>
  <si>
    <t>Qualificação da formação e capacitação continuada de servidores para a segurança viária</t>
  </si>
  <si>
    <t>4.2.a</t>
  </si>
  <si>
    <t>Servidores estaduais capacitados com conteúdos de Sistema Seguro e Visão Zero</t>
  </si>
  <si>
    <t>Mede a proporção de servidores estaduais que participaram de capacitação que incorporaram efetivamente os conteúdos e conceitos do Sistema Seguro e da Visão Zero, refletindo o alcance e a disseminação dessas abordagens entre os profissionais envolvidos na gestão da segurança viária</t>
  </si>
  <si>
    <t xml:space="preserve">(nº de servidores capacitados com conteúdos do Sistema Seguro e Visão Zero ÷ total de servidores capacitados no período) x 100 </t>
  </si>
  <si>
    <t>Levantamento estadual do SISTRAN-SP</t>
  </si>
  <si>
    <t>4.2.b</t>
  </si>
  <si>
    <t>Municípios utilizando conteúdos de capacitação estadual sobre Sistema Seguro e Visão Zero</t>
  </si>
  <si>
    <t>Mede a proporção de municípios que utilizaram os conteúdos oficiais fornecidos pelo Estado em capacitações sobre Sistema Seguro e Visão Zero, refletindo a abrangência e a adesão das práticas de capacitação estadual no tema nos municípios</t>
  </si>
  <si>
    <t xml:space="preserve">(nº de municípios que aplicaram conteúdos fornecidos pelo Estado ÷ 645 municípios paulistas) x 100 </t>
  </si>
  <si>
    <t>Diagnóstico de Segurança Viária dos Municípios Paulistas (DETRAN-SP)</t>
  </si>
  <si>
    <t xml:space="preserve">Formação, atualização e qualidade da habilitação de condutores com foco em segurança </t>
  </si>
  <si>
    <t>4.3.a</t>
  </si>
  <si>
    <t>Instrutores de trânsito utilizando materiais didáticos homologados pelo Estado</t>
  </si>
  <si>
    <t>Mede a proporção de instrutores de trânsito que utilizam materiais didáticos e referenciais pedagógicos homologados pelo Estado, refletindo o grau de adoção dos conteúdos oficiais e a padronização da formação profissional em segurança viária.</t>
  </si>
  <si>
    <t xml:space="preserve">(nº de instrutores que usaram materiais homologados​ ÷ total instrutores com atuação no Estado) x 100 </t>
  </si>
  <si>
    <t>Levantamento EPT (DETRAN-SP)</t>
  </si>
  <si>
    <t>4.3.b</t>
  </si>
  <si>
    <t>Alcance das campanhas educativas nas notificações digitais de autuação e aplicativos de CNH</t>
  </si>
  <si>
    <t>Mede a variação no alcance das campanhas educativas de trânsito veiculadas por notificações digitais de autuação e penalidade e por aplicativos de gestão de CNH, refletindo a capacidade de ampliar o público impactado pelas ações de conscientização e promoção de comportamentos seguros no trânsito</t>
  </si>
  <si>
    <t>(nº de pessoas alcançadas nas campanhas digitais no período atual – nº de pessoas alcançadas no período anterior) ÷ nº de pessoas alcançadas no período anterior] x 100</t>
  </si>
  <si>
    <t>Levantamento DFT (DETRAN-SP)</t>
  </si>
  <si>
    <t>1 por ano</t>
  </si>
  <si>
    <t>Campanhas de comunicação para dissuasão de comportamentos de risco</t>
  </si>
  <si>
    <t>5.1.a</t>
  </si>
  <si>
    <t>Recordação (recall) da campanha principal do ano pelo público-alvo</t>
  </si>
  <si>
    <t>Mede a eficácia da campanha em ser lembrada (penetração da
mensagem) pelo público-alvo, indicando o quanto a comunicação
foi efetivamente absorvida.</t>
  </si>
  <si>
    <t>(no de entrevistados do público-alvo que lembram da campanha ÷
total de entrevistados do público-alvo na pesquisa) x 100</t>
  </si>
  <si>
    <t>Pesquisa pós-campanha</t>
  </si>
  <si>
    <t>5.1.b</t>
  </si>
  <si>
    <t>Conversão comportamental atribuída à campanha</t>
  </si>
  <si>
    <t>Mede a eficácia persuasiva da campanha. Em vez de medir a mudança geral na população (que poderia ter outras causas), este indicador isola e mede, dentro do grupo que não praticava o comportamento seguro, qual o percentual de pessoas que passaram a adotá-lo por influência direta da comunicação</t>
  </si>
  <si>
    <t>(no de entrevistados que declaram ter passado a adotar o
comportamento seguro DEPOIS da campanha ÷ total de
entrevistados do público-alvo expostos à campanha) x 100</t>
  </si>
  <si>
    <t>Qualificação da narrativa de segurança viária em âmbito estadual</t>
  </si>
  <si>
    <t>5.2.a</t>
  </si>
  <si>
    <t xml:space="preserve">Matérias na imprensa que utilizam a terminologia correta sobre segurança viária </t>
  </si>
  <si>
    <t>Mede o sucesso das ações de relacionamento com a imprensa e a adoção do Manual de Narrativa pelos jornalistas, indicando a profissionalização do debate público, avaliando matérias na imprensa que utilizam a terminologia correta sobre segurança viária (ex: "sinistro" em vez de "acidente")</t>
  </si>
  <si>
    <t>(nº de matérias monitoradas que usam a terminologia correta ÷ total de matérias monitoradas sobre o tema) x 100</t>
  </si>
  <si>
    <t>Levantamento ASCOM (DETRAN-SP)</t>
  </si>
  <si>
    <t xml:space="preserve">Anual </t>
  </si>
  <si>
    <t>5.2.b</t>
  </si>
  <si>
    <t>Cobertura midiática da segurança viária como tema de saúde pública</t>
  </si>
  <si>
    <t>Mede a percepção da imprensa sobre o tema, avaliando se ela passou a tratar os sinistros de forma mais aprofundada (causas sistêmicas, saúde) e menos superficial (apenas fatos policiais/ trânsito/cotidiano)</t>
  </si>
  <si>
    <t>(nº de matérias classificadas com "enquadramento alinhado"* ÷ total de matérias analisadas no período) x 100
*deve-se utilizar o "Manual de Narrativa" como o checklist oficial para definir o que é um "enquadramento alinhado"</t>
  </si>
  <si>
    <t>Levantamento ASCOM (Detran-SP)</t>
  </si>
  <si>
    <t>Articulação com municípios para a sensibilização da população</t>
  </si>
  <si>
    <t>5.3.a</t>
  </si>
  <si>
    <t>Adesão ao Calendário Estadual Integrado de Comunicação pelos municípios</t>
  </si>
  <si>
    <t>Mede a capilaridade e o sucesso da estratégia de articulação do Estado, avaliando a capacidade de engajar os municípios em uma agenda de comunicação unificada</t>
  </si>
  <si>
    <t>(nº de municípios que aderiram ao calendário ÷ 645 municípios paulistas) x 100</t>
  </si>
  <si>
    <t>5.3.b</t>
  </si>
  <si>
    <t xml:space="preserve">Ações de comunicação de impacto realizadas em conjunto com parceiros estratégicos </t>
  </si>
  <si>
    <t>Mede a efetividade das parcerias estratégicas, quantificando o quanto elas se traduziram em ações concretas de comunicação que ampliam o alcance da mensagem</t>
  </si>
  <si>
    <t>(nº de parcerias com ações de impacto ÷ total de parcerias) x 100</t>
  </si>
  <si>
    <t>Integração institucional e coordenação da fiscalização de trânsito</t>
  </si>
  <si>
    <t>6.1.a</t>
  </si>
  <si>
    <t>Cobertura da formalização da cooperação interinstitucional</t>
  </si>
  <si>
    <t>Mede o grau de institucionalização da cooperação entre os órgãos fiscalizadores (Detran-SP, polícias, GCMs, municípios)</t>
  </si>
  <si>
    <t>(nº de convênios ou acordos de cooperação ativos entre órgãos de fiscalização ÷ total de convênios ou acordos planejados) x 100</t>
  </si>
  <si>
    <t>Levantamento DAL (Detran-SP)</t>
  </si>
  <si>
    <t>6.1.b</t>
  </si>
  <si>
    <t>Cobertura do planejamento integrado de ações de fiscalização entre órgãos estaduais e municipais</t>
  </si>
  <si>
    <t>Mede a abrangência territorial do planejamento conjunto de operações de fiscalização</t>
  </si>
  <si>
    <t>(nº de planos estratégicos de fiscalização regionais estabelecidos com dados do Infosiga ÷ total de regiões estaduais definidas para planejamento de ações de fiscalização)</t>
  </si>
  <si>
    <t>Fiscalização de fatores de risco prioritários baseada em dados e evidências</t>
  </si>
  <si>
    <t>6.2.a</t>
  </si>
  <si>
    <t>Conformidade da fiscalização eletrônica de velocidade com critérios de priorização de risco</t>
  </si>
  <si>
    <t>Mede o alinhamento entre a implantação da fiscalização eletrônica de velocidade e os critérios técnicos de priorização de risco, avaliando se os recursos estão sendo aplicados onde o risco é maior</t>
  </si>
  <si>
    <t>(nº de equipamentos instalados em locais identificados como de alto risco ÷ total de equipamentos instalados) x 100</t>
  </si>
  <si>
    <t>Levantamento Cetran-SP</t>
  </si>
  <si>
    <t>6.2.b</t>
  </si>
  <si>
    <t>Intensidade da fiscalização de alcoolemia</t>
  </si>
  <si>
    <t>Mede a frequência e a intensidade das operações de fiscalização de alcoolemia, cruciais para aumentar a percepção de risco de punição para este fator de risco</t>
  </si>
  <si>
    <t>nº de testes de etilômetro aplicados no período por 100 mil habitantes</t>
  </si>
  <si>
    <t>Levantamento DFT (Detran-SP)</t>
  </si>
  <si>
    <t>Mensal</t>
  </si>
  <si>
    <t>6.2.c</t>
  </si>
  <si>
    <t>Condutores envolvidos em sinistros com autuações de risco prévias (Infratores Contumazes)</t>
  </si>
  <si>
    <t>Mede a proporção de condutores de risco que se envolvem em sinistros, ajudando a monitorar a efetividade das estratégias de combate a infratores contumazes</t>
  </si>
  <si>
    <t>(nº de condutores envolvidos em sinistros com autuações de risco nos 12 meses anteriores ÷ total de condutores envolvidos em sinistros) x 100</t>
  </si>
  <si>
    <t>Inovação e tecnologias para fiscalização e monitoramento contínuo</t>
  </si>
  <si>
    <t>6.3.a</t>
  </si>
  <si>
    <t>Taxa de digitalização do processamento de autos de infração</t>
  </si>
  <si>
    <t>Mede a modernização do processo de lavratura e processamento de infrações, buscando maior eficiência e transparência.</t>
  </si>
  <si>
    <t>(nº de autos de infração lavrados e processados via sistemas digitais integrados ÷ total de autos de infração lavrados e processados) x 100</t>
  </si>
  <si>
    <t>Trimestral</t>
  </si>
  <si>
    <t>6.3.b</t>
  </si>
  <si>
    <t>Parcerias e acordos de cooperação de Pesquisa e Desenvolvimento (P&amp;D) com tecnologias implantadas em fiscalização e monitoramento</t>
  </si>
  <si>
    <t>Mede a proporção de parcerias e cooperações para pesquisa e
desenvolvimento em tecnologias de fiscalização e monitoramento
que resultaram em soluções efetivamente implantadas, refletindo
o grau de conversão da inovação em resultados práticos para a
gestão da segurança viária.</t>
  </si>
  <si>
    <t>(no de parcerias e acordos de cooperação com tecnologias
efetivamente implantadas ÷ total de parcerias e acordos de
cooperação de P&amp;D firmados) x 100</t>
  </si>
  <si>
    <t>Inspeção, manutenção preventiva e renovação da frota</t>
  </si>
  <si>
    <t>7.1.a</t>
  </si>
  <si>
    <t>Cobertura da exigência de manutenção preventiva em frotas públicas</t>
  </si>
  <si>
    <t>Mede o cumprimento da diretriz de manutenção certificada em contratos públicos e concessionados</t>
  </si>
  <si>
    <t>(nº de contratos públicos e concessionados com cláusulas de manutenção preventiva certificada ÷ total de contratos públicos e concessionados existentes) x 100</t>
  </si>
  <si>
    <t>Levantamento DVA (Detran-SP)</t>
  </si>
  <si>
    <t>7.1.b</t>
  </si>
  <si>
    <t>Conformidade dos veículos de transporte de
 passageiros intermunicipal com a manutenção preventiva
 periódica e o cronograma de vistoria técnica</t>
  </si>
  <si>
    <t>Mede a proporção de veículos de transporte de passageiros intermunicipal que estão em conformidade com a manutenção preventiva periódica e com o cronograma de vistoria técnica estabelecidos em portaria administrativa. O indicador expressa o nível de aderência das frotas às exigências de manutenção e a efetividade da fiscalização sistemática, contribuindo para a redução de falhas mecânicas e de riscos viários associados.</t>
  </si>
  <si>
    <t>(nº de veículos de transporte de passageiros intermunicipal em conformidade com a manutenção preventiva e vistoria técnica ÷ total de veículos de transporte de passageiros intermunicipal fiscalizados) x 100</t>
  </si>
  <si>
    <t xml:space="preserve">Tecnologias de segurança e parâmetros regulatórios
	</t>
  </si>
  <si>
    <t>7.2.A</t>
  </si>
  <si>
    <t>Veículos envolvidos em sinistros graves ou fatais com histórico de sinistro prévio ou condenação técnica/estrutural</t>
  </si>
  <si>
    <t>Mede a proporção de veículos envolvidos em sinistros graves
ou fatais que apresentavam, antes do evento, histórico de
sinistro prévio, classificação como veículo sinistrado, perda, ou
condenação técnica/estrutural no DETRAN-SP, identificados por
meio da integração entre boletins de ocorrência e o histórico
veicular. O indicador permite avaliar a efetividade das ações de
regulamentar e controlar a reinserção de veículos leiloados na
frota, assegurando que retornem ao uso apenas após inspeções de
segurança rigorosas.</t>
  </si>
  <si>
    <t>(no de veículos envolvidos em sinistros graves ou fatais com
histórico prévio de sinistro ou condenação técnica/estrutural ÷
total de veículos envolvidos em sinistros graves ou fatais) x 100</t>
  </si>
  <si>
    <t>Infosiga; consolidação Assessoria Policial e DSV (Detran-SP)</t>
  </si>
  <si>
    <t>Governança da segurança veicular</t>
  </si>
  <si>
    <t>7.3.a</t>
  </si>
  <si>
    <t>Participação dos atores no fórum permanente de governança da segurança veicular</t>
  </si>
  <si>
    <t>Mede a proporção de atores-chave que participam efetivamente do fórum permanente de governança da segurança veicular, refletindo o grau de articulação, engajamento e integração entre os diversos setores na definição de políticas e práticas de segurança veicular</t>
  </si>
  <si>
    <t>(nº de órgãos e entidades participantes efetivamente das reuniões do fórum ÷ total de órgãos e entidades convidados ou membros previstos) x 100</t>
  </si>
  <si>
    <t>Dados do fórum permanente de governança da segurança veicular</t>
  </si>
  <si>
    <t>Semestral</t>
  </si>
  <si>
    <t>7.3.b</t>
  </si>
  <si>
    <t>Taxa de incorporação de análises técnicas e jurídicas em revisões normativas de segurança veicular</t>
  </si>
  <si>
    <t>Mede a proporção de pareceres técnicos e análises jurídicas produzidas que foram efetivamente incorporadas em revisões normativas de segurança veicular, refletindo a relevância e impacto das análises do Estado na atualização das normas e regulamentações</t>
  </si>
  <si>
    <t>(nº de pareceres técnicos e análises jurídicas incorporadas em revisões de normas ÷ total de pareceres técnicos e análises jurídicas produzidos) x 100</t>
  </si>
  <si>
    <t>Resposta rápida e integrada aos sinistros de trânsito</t>
  </si>
  <si>
    <t>8.1.a</t>
  </si>
  <si>
    <t>Integração dos fluxos de atendimento entre serviços de emergência</t>
  </si>
  <si>
    <t>Mede a efetividade da integração e coordenação entre os diferentes serviços de emergência, indicando o grau em que os fluxos de acionamento e atendimento são respeitados, garantindo rapidez, continuidade do cuidado e redução de erros ou atrasos no atendimento às vítimas.</t>
  </si>
  <si>
    <t>(nº de atendimentos em que os fluxos de acionamento e comunicação entre todos os serviços de emergência foram corretamente seguidos ÷ total de atendimentos registrados no período) × 100</t>
  </si>
  <si>
    <t>Levantamento Corpo de Bombeiros da Polícia Militar do Estado de São Paulo (CBPMESP)</t>
  </si>
  <si>
    <t>8.1.b</t>
  </si>
  <si>
    <t>Cobertura dos serviços de emergência no Estado</t>
  </si>
  <si>
    <t>Mede a proporção do território estadual que possui cobertura efetiva de serviços de emergência, refletindo a capacidade do Estado de prestar atendimento rápido e eficaz a vítimas no trânsito em qualquer região</t>
  </si>
  <si>
    <t>(população residente atendida por serviços de emergência adequados ÷ população residente total do Estado)</t>
  </si>
  <si>
    <t>Rede hospitalar estruturada e inteligência em saúde</t>
  </si>
  <si>
    <t>8.2.a</t>
  </si>
  <si>
    <t>Percentual de sinistros com dados de saúde e desfechos clínicos no Infosiga</t>
  </si>
  <si>
    <t>Mede a proporção de sinistros registrados no Infosiga que possuem informações de saúde e desfechos clínicos associadas, refletindo a efetividade da integração entre sistemas de informação de trânsito e saúde e a capacidade do Estado de monitorar o impacto clínico dos sinistros em tempo real</t>
  </si>
  <si>
    <t>(nº de sinistros registrados no Infosiga com informações de saúde e desfechos clínicos ÷ total de sinistros registrados no Infosiga) × 100</t>
  </si>
  <si>
    <t>8.2.b</t>
  </si>
  <si>
    <t>Profissionais de urgência e emergência capacitados nos protocolos de cuidado integral das vítimas e familiares</t>
  </si>
  <si>
    <t>Mede a proporção de profissionais de urgência e emergência que receberam capacitação nos protocolos de cuidado integral das vítimas e de seus familiares, refletindo o alcance, a disseminação e a implementação de práticas padronizadas de atendimento e suporte às vítimas de sinistros de trânsito.</t>
  </si>
  <si>
    <t xml:space="preserve">(nº de profissionais de urgência e emergência capacitados ÷ total de profissionais de urgência e emergência ) x 100 </t>
  </si>
  <si>
    <t>Levantamento GRAU (SES-SP)</t>
  </si>
  <si>
    <t>Reabilitação integral e apoio às vítimas e famílias</t>
  </si>
  <si>
    <t>8.3.a</t>
  </si>
  <si>
    <t>Profissionais de saúde e assistência social capacitados em atendimento humanizado e comunicação sensível</t>
  </si>
  <si>
    <t>Mede a proporção de profissionais de saúde e assistência social que participaram de capacitação que incorporaram efetivamente os conteúdos sobre atendimento humanizado e comunicação sensível com vítimas e familiares, refletindo o alcance e a disseminação dessas abordagens entre os profissionais envolvidos no cuidado pós-sinistro.</t>
  </si>
  <si>
    <t xml:space="preserve">(nº de profissionais de saúde e assistência social capacitados com conteúdos de atendimento humanizado e comunicação sensível ÷ total de profissionais capacitados no período) x 100 </t>
  </si>
  <si>
    <t>Governança do sistema de atendimento às vítimas</t>
  </si>
  <si>
    <t>8.4.a</t>
  </si>
  <si>
    <t>Variação no tempo médio de resposta ao atendimento a traumas em rodovias estaduais concessionadas</t>
  </si>
  <si>
    <t>Mede a variação no tempo médio de resposta aos atendimentos de trauma em rodovias concessionadas, refletindo mudanças na eficiência e prontidão do serviço de emergência. Valores negativos indicam redução do tempo de resposta (melhoria), enquanto valores positivos apontam aumento do tempo médio (piora)</t>
  </si>
  <si>
    <t>[(tempo médio de resposta no período corrente − tempo médio de resposta no período anterior) ÷ tempo médio de resposta no período anterior] × 100</t>
  </si>
  <si>
    <t>Levantamento da ARTESP</t>
  </si>
  <si>
    <t>8.4.b</t>
  </si>
  <si>
    <t>Variação no tempo médio de resposta ao atendimento a traumas em rodovias estaduais sob administração pública direta</t>
  </si>
  <si>
    <t>Mede a variação no tempo médio de resposta aos atendimentos de trauma em rodovias estaduais, refletindo mudanças na eficiência e prontidão do serviço de emergência. Valores negativos indicam redução do tempo de resposta (melhoria), enquanto valores positivos apontam aumento do tempo médio (piora)</t>
  </si>
  <si>
    <t>Levantamento do DER-SP</t>
  </si>
  <si>
    <t>Mensura o grau de institucionalização do PSV-SP dentro do planejamento estadual, verificando a presença de suas metas e indicadores nos instrumentos oficiais de gestão. Consideram-se “instrumentos de governo” a Lei de Diretrizes Orçamentárias (LDO), a Lei Orçamentária Anual (LOA), planos setoriais e relatórios de gestão dos órgãos que integram o Sistran-SP.</t>
  </si>
  <si>
    <t>Avalia o percentual de instrumentos de repasse estadual (como editais, parcerias e chamadas públicas) que aplicam critérios técnicos de priorização baseados em evidências, custo-efetividade ou desempenho institucional. Considera-se como “critérios técnico-evidenciais” a exigência de diagnóstico de risco, indicadores de resultado, vinculação a estratégias abrangentes de segurança viária ou contrapartidas de gestão de dados pelos municípios.</t>
  </si>
  <si>
    <t>Mede a constância e previsibilidade dos recursos públicos destinados à segurança viária, observando a existência contínua de dotações específicas ou previstas em planos já existentes e sua execução ao longo dos exercícios financeiros. O indicador reflete a capacidade do Estado de manter o financiamento da política de segurança viária como prioridade de governo, reduzindo oscilações e fragmentações orçamentárias.</t>
  </si>
  <si>
    <t>Mede a abrangência territorial das ações de segurança viária, considerando a proporção da população residente em municípios signatários do SISTRAN-SP. Reflete o alcance do compromisso público com a segurança viária e a adesão municipal ao movimento estadual pela Visão Zero.</t>
  </si>
  <si>
    <t>Indica a capacidade do Estado de induzir a institucionalização da segurança viária no nível local, por meio da elaboração e manutenção de planos ou estratégias municipais abrangentes, com ou sem apoio técnico direto do Estado. O indicador reflete o avanço da segurança viária como política pública permanente e integrada aos municípios paulistas.</t>
  </si>
  <si>
    <t>Peso Indicador</t>
  </si>
  <si>
    <t>Cód. ID</t>
  </si>
  <si>
    <t>Peso Eixo</t>
  </si>
  <si>
    <t>Peso OE</t>
  </si>
  <si>
    <t>Contribuição Final</t>
  </si>
  <si>
    <t>SOMA</t>
  </si>
  <si>
    <t>Valor do indicador</t>
  </si>
  <si>
    <t>Peso constante</t>
  </si>
  <si>
    <t>INDICE_Costa</t>
  </si>
  <si>
    <t>INDICE_Oliveira</t>
  </si>
  <si>
    <t>INDICE_constante</t>
  </si>
  <si>
    <t>Peso_TeoAla</t>
  </si>
  <si>
    <t>Peso_TeoAla_Normalizado</t>
  </si>
  <si>
    <t>Indicadores de desempenho</t>
  </si>
  <si>
    <t>CÓD. EIXO</t>
  </si>
  <si>
    <t>EIXO</t>
  </si>
  <si>
    <t>CÓD. O.E.</t>
  </si>
  <si>
    <t>O.E.</t>
  </si>
  <si>
    <t>Gestão da Segurança Viária</t>
  </si>
  <si>
    <t>Gestão da Informação</t>
  </si>
  <si>
    <t>Vias Seguras</t>
  </si>
  <si>
    <t>Educação</t>
  </si>
  <si>
    <t>Comunicação</t>
  </si>
  <si>
    <t>Fiscalização</t>
  </si>
  <si>
    <t>Veículos Seguros</t>
  </si>
  <si>
    <t>Atendimento às vítimas</t>
  </si>
  <si>
    <t>1.1</t>
  </si>
  <si>
    <t>1.2</t>
  </si>
  <si>
    <t>1.3</t>
  </si>
  <si>
    <t>2.1</t>
  </si>
  <si>
    <t>2.2</t>
  </si>
  <si>
    <t>2.3</t>
  </si>
  <si>
    <t>3.1</t>
  </si>
  <si>
    <t>3.2</t>
  </si>
  <si>
    <t>3.3</t>
  </si>
  <si>
    <t>4.1</t>
  </si>
  <si>
    <t>4.2</t>
  </si>
  <si>
    <t>4.3</t>
  </si>
  <si>
    <t>5.1</t>
  </si>
  <si>
    <t>5.2</t>
  </si>
  <si>
    <t>5.3</t>
  </si>
  <si>
    <t>6.1</t>
  </si>
  <si>
    <t>6.2</t>
  </si>
  <si>
    <t>6.3</t>
  </si>
  <si>
    <t>7.1</t>
  </si>
  <si>
    <t>7.2</t>
  </si>
  <si>
    <t>7.3</t>
  </si>
  <si>
    <t>8.1</t>
  </si>
  <si>
    <t>8.2</t>
  </si>
  <si>
    <t>8.3</t>
  </si>
  <si>
    <t>8.4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</si>
</sst>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[$R$ -416]#,##0.00"/>
    <numFmt numFmtId="166" formatCode="0.000"/>
  </numFmts>
  <fonts count="7" x14ac:knownFonts="1">
    <font>
      <sz val="10"/>
      <color rgb="FF000000"/>
      <name val="Arial"/>
      <scheme val="minor"/>
    </font>
    <font>
      <sz val="10"/>
      <color theme="1"/>
      <name val="Verdana"/>
    </font>
    <font>
      <b/>
      <sz val="10"/>
      <color theme="1"/>
      <name val="Verdana"/>
    </font>
    <font>
      <sz val="10"/>
      <color rgb="FF000000"/>
      <name val="Verdana"/>
    </font>
    <font>
      <sz val="9"/>
      <color theme="1"/>
      <name val="Open Sans"/>
      <family val="2"/>
    </font>
    <font>
      <sz val="10"/>
      <color theme="1"/>
      <name val="Verdana"/>
      <family val="2"/>
    </font>
    <font>
      <sz val="8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FFFFFF"/>
        <bgColor rgb="FFFFFFFF"/>
      </patternFill>
    </fill>
    <fill>
      <patternFill patternType="solid">
        <fgColor rgb="FFE0F7FA"/>
        <bgColor rgb="FFE0F7FA"/>
      </patternFill>
    </fill>
    <fill>
      <patternFill patternType="solid">
        <fgColor theme="7"/>
        <bgColor rgb="FF4DD0E1"/>
      </patternFill>
    </fill>
    <fill>
      <patternFill patternType="solid">
        <fgColor theme="8"/>
        <bgColor rgb="FF4DD0E1"/>
      </patternFill>
    </fill>
    <fill>
      <patternFill patternType="solid">
        <fgColor theme="6" tint="0.59999389629810485"/>
        <bgColor rgb="FF4DD0E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 wrapText="1"/>
    </xf>
    <xf numFmtId="165" fontId="1" fillId="3" borderId="1" xfId="0" applyNumberFormat="1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166" fontId="1" fillId="0" borderId="1" xfId="0" applyNumberFormat="1" applyFont="1" applyBorder="1" applyAlignment="1">
      <alignment vertical="center"/>
    </xf>
    <xf numFmtId="166" fontId="1" fillId="8" borderId="1" xfId="0" applyNumberFormat="1" applyFont="1" applyFill="1" applyBorder="1" applyAlignment="1">
      <alignment vertical="center"/>
    </xf>
    <xf numFmtId="0" fontId="1" fillId="8" borderId="0" xfId="0" applyFont="1" applyFill="1" applyAlignment="1">
      <alignment vertical="center"/>
    </xf>
    <xf numFmtId="166" fontId="1" fillId="9" borderId="1" xfId="0" applyNumberFormat="1" applyFont="1" applyFill="1" applyBorder="1" applyAlignment="1">
      <alignment vertical="center"/>
    </xf>
    <xf numFmtId="0" fontId="1" fillId="9" borderId="0" xfId="0" applyFont="1" applyFill="1" applyAlignment="1">
      <alignment vertical="center"/>
    </xf>
    <xf numFmtId="166" fontId="1" fillId="10" borderId="1" xfId="0" applyNumberFormat="1" applyFont="1" applyFill="1" applyBorder="1" applyAlignment="1">
      <alignment vertical="center"/>
    </xf>
    <xf numFmtId="0" fontId="1" fillId="10" borderId="0" xfId="0" applyFont="1" applyFill="1" applyAlignment="1">
      <alignment vertical="center"/>
    </xf>
    <xf numFmtId="49" fontId="4" fillId="0" borderId="1" xfId="0" applyNumberFormat="1" applyFont="1" applyBorder="1" applyAlignment="1">
      <alignment horizontal="center" vertical="center" wrapText="1"/>
    </xf>
    <xf numFmtId="0" fontId="5" fillId="3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1.xml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>
    <outlinePr summaryBelow="0" summaryRight="0"/>
    <pageSetUpPr fitToPage="1"/>
  </sheetPr>
  <dimension ref="A1:V1000"/>
  <sheetViews>
    <sheetView tabSelected="1" topLeftCell="A7" zoomScaleNormal="100" workbookViewId="0">
      <selection activeCell="F15" sqref="F15"/>
    </sheetView>
  </sheetViews>
  <sheetFormatPr defaultColWidth="12.5703125" defaultRowHeight="15" customHeight="1" x14ac:dyDescent="0.2"/>
  <cols>
    <col min="3" max="3" width="8.28515625" customWidth="1"/>
    <col min="4" max="4" width="25" customWidth="1"/>
    <col min="5" max="5" width="8.140625" customWidth="1"/>
    <col min="6" max="6" width="30.140625" customWidth="1"/>
    <col min="7" max="8" width="49.85546875" customWidth="1"/>
    <col min="9" max="9" width="16" customWidth="1"/>
    <col min="10" max="10" width="20" customWidth="1"/>
    <col min="14" max="14" width="15.5703125" customWidth="1"/>
    <col min="16" max="16" width="10.28515625" customWidth="1"/>
    <col min="18" max="18" width="13.42578125" customWidth="1"/>
    <col min="21" max="21" width="10.140625" customWidth="1"/>
  </cols>
  <sheetData>
    <row r="1" spans="1:22" ht="38.25" x14ac:dyDescent="0.2">
      <c r="A1" s="18" t="s">
        <v>291</v>
      </c>
      <c r="B1" s="18" t="s">
        <v>292</v>
      </c>
      <c r="C1" s="18" t="s">
        <v>293</v>
      </c>
      <c r="D1" s="18" t="s">
        <v>294</v>
      </c>
      <c r="E1" s="18" t="s">
        <v>278</v>
      </c>
      <c r="F1" s="15" t="s">
        <v>290</v>
      </c>
      <c r="G1" s="5" t="s">
        <v>0</v>
      </c>
      <c r="H1" s="5" t="s">
        <v>1</v>
      </c>
      <c r="I1" s="5" t="s">
        <v>2</v>
      </c>
      <c r="J1" s="18" t="s">
        <v>3</v>
      </c>
      <c r="K1" s="19" t="s">
        <v>277</v>
      </c>
      <c r="L1" s="19" t="s">
        <v>280</v>
      </c>
      <c r="M1" s="19" t="s">
        <v>279</v>
      </c>
      <c r="N1" s="19" t="s">
        <v>281</v>
      </c>
      <c r="O1" s="19" t="s">
        <v>283</v>
      </c>
      <c r="P1" s="19" t="s">
        <v>285</v>
      </c>
      <c r="Q1" s="20" t="s">
        <v>284</v>
      </c>
      <c r="R1" s="20" t="s">
        <v>287</v>
      </c>
      <c r="S1" s="21" t="s">
        <v>288</v>
      </c>
      <c r="T1" s="21" t="s">
        <v>289</v>
      </c>
      <c r="U1" s="21" t="s">
        <v>286</v>
      </c>
      <c r="V1" s="1"/>
    </row>
    <row r="2" spans="1:22" ht="153" x14ac:dyDescent="0.2">
      <c r="A2" s="17">
        <v>1</v>
      </c>
      <c r="B2" s="29" t="s">
        <v>295</v>
      </c>
      <c r="C2" s="30" t="s">
        <v>303</v>
      </c>
      <c r="D2" s="6" t="s">
        <v>4</v>
      </c>
      <c r="E2" s="7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22">
        <f>1/2</f>
        <v>0.5</v>
      </c>
      <c r="L2" s="22">
        <f>1/3</f>
        <v>0.33333333333333331</v>
      </c>
      <c r="M2" s="22">
        <f>1/8</f>
        <v>0.125</v>
      </c>
      <c r="N2" s="22">
        <f>K2*L2*M2</f>
        <v>2.0833333333333332E-2</v>
      </c>
      <c r="O2" s="22">
        <v>10</v>
      </c>
      <c r="P2" s="23">
        <f>N2*O2</f>
        <v>0.20833333333333331</v>
      </c>
      <c r="Q2" s="22">
        <f>1/51</f>
        <v>1.9607843137254902E-2</v>
      </c>
      <c r="R2" s="25">
        <f>Q2*O2</f>
        <v>0.19607843137254902</v>
      </c>
      <c r="S2" s="22">
        <f>7/8</f>
        <v>0.875</v>
      </c>
      <c r="T2" s="22">
        <f>S2/$S$53</f>
        <v>3.017241379310345E-2</v>
      </c>
      <c r="U2" s="27">
        <f>T2*O2</f>
        <v>0.30172413793103448</v>
      </c>
      <c r="V2" s="2"/>
    </row>
    <row r="3" spans="1:22" ht="165.75" x14ac:dyDescent="0.2">
      <c r="A3" s="17">
        <v>1</v>
      </c>
      <c r="B3" s="29" t="s">
        <v>295</v>
      </c>
      <c r="C3" s="30" t="s">
        <v>303</v>
      </c>
      <c r="D3" s="6" t="s">
        <v>4</v>
      </c>
      <c r="E3" s="8" t="s">
        <v>11</v>
      </c>
      <c r="F3" s="9" t="s">
        <v>12</v>
      </c>
      <c r="G3" s="9" t="s">
        <v>272</v>
      </c>
      <c r="H3" s="9" t="s">
        <v>13</v>
      </c>
      <c r="I3" s="9" t="s">
        <v>14</v>
      </c>
      <c r="J3" s="9" t="s">
        <v>10</v>
      </c>
      <c r="K3" s="22">
        <f>1/2</f>
        <v>0.5</v>
      </c>
      <c r="L3" s="22">
        <f t="shared" ref="L3:L45" si="0">1/3</f>
        <v>0.33333333333333331</v>
      </c>
      <c r="M3" s="22">
        <f t="shared" ref="M3:M52" si="1">1/8</f>
        <v>0.125</v>
      </c>
      <c r="N3" s="22">
        <f t="shared" ref="N3:N52" si="2">K3*L3*M3</f>
        <v>2.0833333333333332E-2</v>
      </c>
      <c r="O3" s="22">
        <v>15</v>
      </c>
      <c r="P3" s="23">
        <f t="shared" ref="P3:P52" si="3">N3*O3</f>
        <v>0.3125</v>
      </c>
      <c r="Q3" s="22">
        <f t="shared" ref="Q3:Q52" si="4">1/51</f>
        <v>1.9607843137254902E-2</v>
      </c>
      <c r="R3" s="25">
        <f t="shared" ref="R3:R52" si="5">Q3*O3</f>
        <v>0.29411764705882354</v>
      </c>
      <c r="S3" s="22">
        <f t="shared" ref="S3:S7" si="6">7/8</f>
        <v>0.875</v>
      </c>
      <c r="T3" s="22">
        <f t="shared" ref="T3:T52" si="7">S3/$S$53</f>
        <v>3.017241379310345E-2</v>
      </c>
      <c r="U3" s="27">
        <f t="shared" ref="U3:U52" si="8">T3*O3</f>
        <v>0.45258620689655177</v>
      </c>
      <c r="V3" s="2"/>
    </row>
    <row r="4" spans="1:22" ht="153" x14ac:dyDescent="0.2">
      <c r="A4" s="17">
        <v>1</v>
      </c>
      <c r="B4" s="29" t="s">
        <v>295</v>
      </c>
      <c r="C4" s="30" t="s">
        <v>304</v>
      </c>
      <c r="D4" s="6" t="s">
        <v>15</v>
      </c>
      <c r="E4" s="7" t="s">
        <v>16</v>
      </c>
      <c r="F4" s="6" t="s">
        <v>17</v>
      </c>
      <c r="G4" s="6" t="s">
        <v>273</v>
      </c>
      <c r="H4" s="6" t="s">
        <v>18</v>
      </c>
      <c r="I4" s="6" t="s">
        <v>19</v>
      </c>
      <c r="J4" s="6" t="s">
        <v>10</v>
      </c>
      <c r="K4" s="22">
        <f t="shared" ref="K4:K52" si="9">1/2</f>
        <v>0.5</v>
      </c>
      <c r="L4" s="22">
        <f t="shared" si="0"/>
        <v>0.33333333333333331</v>
      </c>
      <c r="M4" s="22">
        <f t="shared" si="1"/>
        <v>0.125</v>
      </c>
      <c r="N4" s="22">
        <f t="shared" si="2"/>
        <v>2.0833333333333332E-2</v>
      </c>
      <c r="O4" s="22">
        <v>20</v>
      </c>
      <c r="P4" s="23">
        <f t="shared" si="3"/>
        <v>0.41666666666666663</v>
      </c>
      <c r="Q4" s="22">
        <f t="shared" si="4"/>
        <v>1.9607843137254902E-2</v>
      </c>
      <c r="R4" s="25">
        <f t="shared" si="5"/>
        <v>0.39215686274509803</v>
      </c>
      <c r="S4" s="22">
        <f t="shared" si="6"/>
        <v>0.875</v>
      </c>
      <c r="T4" s="22">
        <f t="shared" si="7"/>
        <v>3.017241379310345E-2</v>
      </c>
      <c r="U4" s="27">
        <f t="shared" si="8"/>
        <v>0.60344827586206895</v>
      </c>
      <c r="V4" s="2"/>
    </row>
    <row r="5" spans="1:22" ht="113.45" customHeight="1" x14ac:dyDescent="0.2">
      <c r="A5" s="17">
        <v>1</v>
      </c>
      <c r="B5" s="29" t="s">
        <v>295</v>
      </c>
      <c r="C5" s="30" t="s">
        <v>304</v>
      </c>
      <c r="D5" s="6" t="s">
        <v>15</v>
      </c>
      <c r="E5" s="8" t="s">
        <v>20</v>
      </c>
      <c r="F5" s="9" t="s">
        <v>21</v>
      </c>
      <c r="G5" s="9" t="s">
        <v>274</v>
      </c>
      <c r="H5" s="9" t="s">
        <v>22</v>
      </c>
      <c r="I5" s="9" t="s">
        <v>23</v>
      </c>
      <c r="J5" s="9" t="s">
        <v>10</v>
      </c>
      <c r="K5" s="22">
        <f t="shared" si="9"/>
        <v>0.5</v>
      </c>
      <c r="L5" s="22">
        <f t="shared" si="0"/>
        <v>0.33333333333333331</v>
      </c>
      <c r="M5" s="22">
        <f t="shared" si="1"/>
        <v>0.125</v>
      </c>
      <c r="N5" s="22">
        <f t="shared" si="2"/>
        <v>2.0833333333333332E-2</v>
      </c>
      <c r="O5" s="22">
        <v>1</v>
      </c>
      <c r="P5" s="23">
        <f t="shared" si="3"/>
        <v>2.0833333333333332E-2</v>
      </c>
      <c r="Q5" s="22">
        <f t="shared" si="4"/>
        <v>1.9607843137254902E-2</v>
      </c>
      <c r="R5" s="25">
        <f t="shared" si="5"/>
        <v>1.9607843137254902E-2</v>
      </c>
      <c r="S5" s="22">
        <f t="shared" si="6"/>
        <v>0.875</v>
      </c>
      <c r="T5" s="22">
        <f t="shared" si="7"/>
        <v>3.017241379310345E-2</v>
      </c>
      <c r="U5" s="27">
        <f t="shared" si="8"/>
        <v>3.017241379310345E-2</v>
      </c>
      <c r="V5" s="2"/>
    </row>
    <row r="6" spans="1:22" ht="76.5" x14ac:dyDescent="0.2">
      <c r="A6" s="17">
        <v>1</v>
      </c>
      <c r="B6" s="29" t="s">
        <v>295</v>
      </c>
      <c r="C6" s="30" t="s">
        <v>305</v>
      </c>
      <c r="D6" s="6" t="s">
        <v>24</v>
      </c>
      <c r="E6" s="7" t="s">
        <v>25</v>
      </c>
      <c r="F6" s="6" t="s">
        <v>26</v>
      </c>
      <c r="G6" s="6" t="s">
        <v>275</v>
      </c>
      <c r="H6" s="6" t="s">
        <v>27</v>
      </c>
      <c r="I6" s="10" t="s">
        <v>28</v>
      </c>
      <c r="J6" s="6" t="s">
        <v>10</v>
      </c>
      <c r="K6" s="22">
        <f t="shared" si="9"/>
        <v>0.5</v>
      </c>
      <c r="L6" s="22">
        <f t="shared" si="0"/>
        <v>0.33333333333333331</v>
      </c>
      <c r="M6" s="22">
        <f t="shared" si="1"/>
        <v>0.125</v>
      </c>
      <c r="N6" s="22">
        <f t="shared" si="2"/>
        <v>2.0833333333333332E-2</v>
      </c>
      <c r="O6" s="22">
        <v>2</v>
      </c>
      <c r="P6" s="23">
        <f t="shared" si="3"/>
        <v>4.1666666666666664E-2</v>
      </c>
      <c r="Q6" s="22">
        <f t="shared" si="4"/>
        <v>1.9607843137254902E-2</v>
      </c>
      <c r="R6" s="25">
        <f t="shared" si="5"/>
        <v>3.9215686274509803E-2</v>
      </c>
      <c r="S6" s="22">
        <f t="shared" si="6"/>
        <v>0.875</v>
      </c>
      <c r="T6" s="22">
        <f t="shared" si="7"/>
        <v>3.017241379310345E-2</v>
      </c>
      <c r="U6" s="27">
        <f t="shared" si="8"/>
        <v>6.0344827586206899E-2</v>
      </c>
      <c r="V6" s="2"/>
    </row>
    <row r="7" spans="1:22" ht="102" x14ac:dyDescent="0.2">
      <c r="A7" s="17">
        <v>1</v>
      </c>
      <c r="B7" s="29" t="s">
        <v>295</v>
      </c>
      <c r="C7" s="30" t="s">
        <v>305</v>
      </c>
      <c r="D7" s="6" t="s">
        <v>24</v>
      </c>
      <c r="E7" s="8" t="s">
        <v>29</v>
      </c>
      <c r="F7" s="9" t="s">
        <v>30</v>
      </c>
      <c r="G7" s="9" t="s">
        <v>276</v>
      </c>
      <c r="H7" s="9" t="s">
        <v>31</v>
      </c>
      <c r="I7" s="9" t="s">
        <v>32</v>
      </c>
      <c r="J7" s="9" t="s">
        <v>10</v>
      </c>
      <c r="K7" s="22">
        <f t="shared" si="9"/>
        <v>0.5</v>
      </c>
      <c r="L7" s="22">
        <f t="shared" si="0"/>
        <v>0.33333333333333331</v>
      </c>
      <c r="M7" s="22">
        <f t="shared" si="1"/>
        <v>0.125</v>
      </c>
      <c r="N7" s="22">
        <f t="shared" si="2"/>
        <v>2.0833333333333332E-2</v>
      </c>
      <c r="O7" s="22">
        <v>3</v>
      </c>
      <c r="P7" s="23">
        <f t="shared" si="3"/>
        <v>6.25E-2</v>
      </c>
      <c r="Q7" s="22">
        <f t="shared" si="4"/>
        <v>1.9607843137254902E-2</v>
      </c>
      <c r="R7" s="25">
        <f t="shared" si="5"/>
        <v>5.8823529411764705E-2</v>
      </c>
      <c r="S7" s="22">
        <f t="shared" si="6"/>
        <v>0.875</v>
      </c>
      <c r="T7" s="22">
        <f t="shared" si="7"/>
        <v>3.017241379310345E-2</v>
      </c>
      <c r="U7" s="27">
        <f t="shared" si="8"/>
        <v>9.0517241379310345E-2</v>
      </c>
      <c r="V7" s="2"/>
    </row>
    <row r="8" spans="1:22" ht="63.75" x14ac:dyDescent="0.2">
      <c r="A8" s="17">
        <v>2</v>
      </c>
      <c r="B8" s="29" t="s">
        <v>296</v>
      </c>
      <c r="C8" s="30" t="s">
        <v>306</v>
      </c>
      <c r="D8" s="6" t="s">
        <v>33</v>
      </c>
      <c r="E8" s="7" t="s">
        <v>34</v>
      </c>
      <c r="F8" s="6" t="s">
        <v>35</v>
      </c>
      <c r="G8" s="6" t="s">
        <v>36</v>
      </c>
      <c r="H8" s="6" t="s">
        <v>37</v>
      </c>
      <c r="I8" s="6" t="s">
        <v>38</v>
      </c>
      <c r="J8" s="6" t="s">
        <v>10</v>
      </c>
      <c r="K8" s="22">
        <f>1/3</f>
        <v>0.33333333333333331</v>
      </c>
      <c r="L8" s="22">
        <f t="shared" si="0"/>
        <v>0.33333333333333331</v>
      </c>
      <c r="M8" s="22">
        <f t="shared" si="1"/>
        <v>0.125</v>
      </c>
      <c r="N8" s="22">
        <f t="shared" si="2"/>
        <v>1.3888888888888888E-2</v>
      </c>
      <c r="O8" s="22">
        <v>0</v>
      </c>
      <c r="P8" s="23">
        <f t="shared" si="3"/>
        <v>0</v>
      </c>
      <c r="Q8" s="22">
        <f t="shared" si="4"/>
        <v>1.9607843137254902E-2</v>
      </c>
      <c r="R8" s="25">
        <f t="shared" si="5"/>
        <v>0</v>
      </c>
      <c r="S8" s="22">
        <f>4/8</f>
        <v>0.5</v>
      </c>
      <c r="T8" s="22">
        <f t="shared" si="7"/>
        <v>1.7241379310344827E-2</v>
      </c>
      <c r="U8" s="27">
        <f t="shared" si="8"/>
        <v>0</v>
      </c>
      <c r="V8" s="2"/>
    </row>
    <row r="9" spans="1:22" ht="102" x14ac:dyDescent="0.2">
      <c r="A9" s="17">
        <v>2</v>
      </c>
      <c r="B9" s="29" t="s">
        <v>296</v>
      </c>
      <c r="C9" s="30" t="s">
        <v>306</v>
      </c>
      <c r="D9" s="6" t="s">
        <v>33</v>
      </c>
      <c r="E9" s="8" t="s">
        <v>39</v>
      </c>
      <c r="F9" s="9" t="s">
        <v>40</v>
      </c>
      <c r="G9" s="9" t="s">
        <v>41</v>
      </c>
      <c r="H9" s="9" t="s">
        <v>42</v>
      </c>
      <c r="I9" s="9" t="s">
        <v>38</v>
      </c>
      <c r="J9" s="9" t="s">
        <v>10</v>
      </c>
      <c r="K9" s="22">
        <f t="shared" ref="K9:K10" si="10">1/3</f>
        <v>0.33333333333333331</v>
      </c>
      <c r="L9" s="22">
        <f t="shared" si="0"/>
        <v>0.33333333333333331</v>
      </c>
      <c r="M9" s="22">
        <f t="shared" si="1"/>
        <v>0.125</v>
      </c>
      <c r="N9" s="22">
        <f t="shared" si="2"/>
        <v>1.3888888888888888E-2</v>
      </c>
      <c r="O9" s="22">
        <v>0</v>
      </c>
      <c r="P9" s="23">
        <f t="shared" si="3"/>
        <v>0</v>
      </c>
      <c r="Q9" s="22">
        <f t="shared" si="4"/>
        <v>1.9607843137254902E-2</v>
      </c>
      <c r="R9" s="25">
        <f t="shared" si="5"/>
        <v>0</v>
      </c>
      <c r="S9" s="22">
        <f t="shared" ref="S9:S13" si="11">4/8</f>
        <v>0.5</v>
      </c>
      <c r="T9" s="22">
        <f t="shared" si="7"/>
        <v>1.7241379310344827E-2</v>
      </c>
      <c r="U9" s="27">
        <f t="shared" si="8"/>
        <v>0</v>
      </c>
      <c r="V9" s="2"/>
    </row>
    <row r="10" spans="1:22" ht="88.15" customHeight="1" x14ac:dyDescent="0.2">
      <c r="A10" s="17">
        <v>2</v>
      </c>
      <c r="B10" s="29" t="s">
        <v>296</v>
      </c>
      <c r="C10" s="30" t="s">
        <v>306</v>
      </c>
      <c r="D10" s="6" t="s">
        <v>33</v>
      </c>
      <c r="E10" s="7" t="s">
        <v>43</v>
      </c>
      <c r="F10" s="6" t="s">
        <v>44</v>
      </c>
      <c r="G10" s="6" t="s">
        <v>45</v>
      </c>
      <c r="H10" s="6" t="s">
        <v>46</v>
      </c>
      <c r="I10" s="6" t="s">
        <v>47</v>
      </c>
      <c r="J10" s="6" t="s">
        <v>48</v>
      </c>
      <c r="K10" s="22">
        <f t="shared" si="10"/>
        <v>0.33333333333333331</v>
      </c>
      <c r="L10" s="22">
        <f t="shared" si="0"/>
        <v>0.33333333333333331</v>
      </c>
      <c r="M10" s="22">
        <f t="shared" si="1"/>
        <v>0.125</v>
      </c>
      <c r="N10" s="22">
        <f t="shared" si="2"/>
        <v>1.3888888888888888E-2</v>
      </c>
      <c r="O10" s="22">
        <v>0</v>
      </c>
      <c r="P10" s="23">
        <f t="shared" si="3"/>
        <v>0</v>
      </c>
      <c r="Q10" s="22">
        <f t="shared" si="4"/>
        <v>1.9607843137254902E-2</v>
      </c>
      <c r="R10" s="25">
        <f t="shared" si="5"/>
        <v>0</v>
      </c>
      <c r="S10" s="22">
        <f t="shared" si="11"/>
        <v>0.5</v>
      </c>
      <c r="T10" s="22">
        <f t="shared" si="7"/>
        <v>1.7241379310344827E-2</v>
      </c>
      <c r="U10" s="27">
        <f t="shared" si="8"/>
        <v>0</v>
      </c>
      <c r="V10" s="2"/>
    </row>
    <row r="11" spans="1:22" ht="51" x14ac:dyDescent="0.2">
      <c r="A11" s="17">
        <v>2</v>
      </c>
      <c r="B11" s="29" t="s">
        <v>296</v>
      </c>
      <c r="C11" s="30" t="s">
        <v>307</v>
      </c>
      <c r="D11" s="9" t="s">
        <v>49</v>
      </c>
      <c r="E11" s="8" t="s">
        <v>50</v>
      </c>
      <c r="F11" s="9" t="s">
        <v>51</v>
      </c>
      <c r="G11" s="9" t="s">
        <v>52</v>
      </c>
      <c r="H11" s="9" t="s">
        <v>53</v>
      </c>
      <c r="I11" s="9" t="s">
        <v>54</v>
      </c>
      <c r="J11" s="9" t="s">
        <v>10</v>
      </c>
      <c r="K11" s="22">
        <f t="shared" si="9"/>
        <v>0.5</v>
      </c>
      <c r="L11" s="22">
        <f t="shared" si="0"/>
        <v>0.33333333333333331</v>
      </c>
      <c r="M11" s="22">
        <f t="shared" si="1"/>
        <v>0.125</v>
      </c>
      <c r="N11" s="22">
        <f t="shared" si="2"/>
        <v>2.0833333333333332E-2</v>
      </c>
      <c r="O11" s="22">
        <v>2</v>
      </c>
      <c r="P11" s="23">
        <f t="shared" si="3"/>
        <v>4.1666666666666664E-2</v>
      </c>
      <c r="Q11" s="22">
        <f t="shared" si="4"/>
        <v>1.9607843137254902E-2</v>
      </c>
      <c r="R11" s="25">
        <f t="shared" si="5"/>
        <v>3.9215686274509803E-2</v>
      </c>
      <c r="S11" s="22">
        <f t="shared" si="11"/>
        <v>0.5</v>
      </c>
      <c r="T11" s="22">
        <f t="shared" si="7"/>
        <v>1.7241379310344827E-2</v>
      </c>
      <c r="U11" s="27">
        <f t="shared" si="8"/>
        <v>3.4482758620689655E-2</v>
      </c>
      <c r="V11" s="2"/>
    </row>
    <row r="12" spans="1:22" ht="76.5" x14ac:dyDescent="0.2">
      <c r="A12" s="17">
        <v>2</v>
      </c>
      <c r="B12" s="29" t="s">
        <v>296</v>
      </c>
      <c r="C12" s="30" t="s">
        <v>307</v>
      </c>
      <c r="D12" s="9" t="s">
        <v>49</v>
      </c>
      <c r="E12" s="7" t="s">
        <v>55</v>
      </c>
      <c r="F12" s="6" t="s">
        <v>56</v>
      </c>
      <c r="G12" s="6" t="s">
        <v>57</v>
      </c>
      <c r="H12" s="6" t="s">
        <v>58</v>
      </c>
      <c r="I12" s="6" t="s">
        <v>54</v>
      </c>
      <c r="J12" s="6" t="s">
        <v>48</v>
      </c>
      <c r="K12" s="22">
        <f t="shared" si="9"/>
        <v>0.5</v>
      </c>
      <c r="L12" s="22">
        <f t="shared" si="0"/>
        <v>0.33333333333333331</v>
      </c>
      <c r="M12" s="22">
        <f t="shared" si="1"/>
        <v>0.125</v>
      </c>
      <c r="N12" s="22">
        <f t="shared" si="2"/>
        <v>2.0833333333333332E-2</v>
      </c>
      <c r="O12" s="22">
        <v>4</v>
      </c>
      <c r="P12" s="23">
        <f t="shared" si="3"/>
        <v>8.3333333333333329E-2</v>
      </c>
      <c r="Q12" s="22">
        <f t="shared" si="4"/>
        <v>1.9607843137254902E-2</v>
      </c>
      <c r="R12" s="25">
        <f t="shared" si="5"/>
        <v>7.8431372549019607E-2</v>
      </c>
      <c r="S12" s="22">
        <f t="shared" si="11"/>
        <v>0.5</v>
      </c>
      <c r="T12" s="22">
        <f t="shared" si="7"/>
        <v>1.7241379310344827E-2</v>
      </c>
      <c r="U12" s="27">
        <f t="shared" si="8"/>
        <v>6.8965517241379309E-2</v>
      </c>
      <c r="V12" s="2"/>
    </row>
    <row r="13" spans="1:22" ht="89.25" x14ac:dyDescent="0.2">
      <c r="A13" s="17">
        <v>2</v>
      </c>
      <c r="B13" s="29" t="s">
        <v>296</v>
      </c>
      <c r="C13" s="30" t="s">
        <v>308</v>
      </c>
      <c r="D13" s="9" t="s">
        <v>59</v>
      </c>
      <c r="E13" s="8" t="s">
        <v>60</v>
      </c>
      <c r="F13" s="9" t="s">
        <v>61</v>
      </c>
      <c r="G13" s="9" t="s">
        <v>62</v>
      </c>
      <c r="H13" s="9" t="s">
        <v>63</v>
      </c>
      <c r="I13" s="9" t="s">
        <v>38</v>
      </c>
      <c r="J13" s="9" t="s">
        <v>10</v>
      </c>
      <c r="K13" s="22">
        <v>1</v>
      </c>
      <c r="L13" s="22">
        <f t="shared" si="0"/>
        <v>0.33333333333333331</v>
      </c>
      <c r="M13" s="22">
        <f t="shared" si="1"/>
        <v>0.125</v>
      </c>
      <c r="N13" s="22">
        <f t="shared" si="2"/>
        <v>4.1666666666666664E-2</v>
      </c>
      <c r="O13" s="22">
        <v>6</v>
      </c>
      <c r="P13" s="23">
        <f t="shared" si="3"/>
        <v>0.25</v>
      </c>
      <c r="Q13" s="22">
        <f t="shared" si="4"/>
        <v>1.9607843137254902E-2</v>
      </c>
      <c r="R13" s="25">
        <f t="shared" si="5"/>
        <v>0.11764705882352941</v>
      </c>
      <c r="S13" s="22">
        <f t="shared" si="11"/>
        <v>0.5</v>
      </c>
      <c r="T13" s="22">
        <f t="shared" si="7"/>
        <v>1.7241379310344827E-2</v>
      </c>
      <c r="U13" s="27">
        <f t="shared" si="8"/>
        <v>0.10344827586206896</v>
      </c>
      <c r="V13" s="2"/>
    </row>
    <row r="14" spans="1:22" ht="102" x14ac:dyDescent="0.2">
      <c r="A14" s="17">
        <v>3</v>
      </c>
      <c r="B14" s="29" t="s">
        <v>297</v>
      </c>
      <c r="C14" s="30" t="s">
        <v>309</v>
      </c>
      <c r="D14" s="6" t="s">
        <v>64</v>
      </c>
      <c r="E14" s="7" t="s">
        <v>65</v>
      </c>
      <c r="F14" s="11" t="s">
        <v>66</v>
      </c>
      <c r="G14" s="11" t="s">
        <v>67</v>
      </c>
      <c r="H14" s="11" t="s">
        <v>68</v>
      </c>
      <c r="I14" s="6" t="s">
        <v>69</v>
      </c>
      <c r="J14" s="11" t="s">
        <v>70</v>
      </c>
      <c r="K14" s="22">
        <f>1/3</f>
        <v>0.33333333333333331</v>
      </c>
      <c r="L14" s="22">
        <f t="shared" si="0"/>
        <v>0.33333333333333331</v>
      </c>
      <c r="M14" s="22">
        <f t="shared" si="1"/>
        <v>0.125</v>
      </c>
      <c r="N14" s="22">
        <f t="shared" si="2"/>
        <v>1.3888888888888888E-2</v>
      </c>
      <c r="O14" s="22">
        <v>8</v>
      </c>
      <c r="P14" s="23">
        <f t="shared" si="3"/>
        <v>0.1111111111111111</v>
      </c>
      <c r="Q14" s="22">
        <f t="shared" si="4"/>
        <v>1.9607843137254902E-2</v>
      </c>
      <c r="R14" s="25">
        <f t="shared" si="5"/>
        <v>0.15686274509803921</v>
      </c>
      <c r="S14" s="22">
        <f>1/8</f>
        <v>0.125</v>
      </c>
      <c r="T14" s="22">
        <f t="shared" si="7"/>
        <v>4.3103448275862068E-3</v>
      </c>
      <c r="U14" s="27">
        <f t="shared" si="8"/>
        <v>3.4482758620689655E-2</v>
      </c>
      <c r="V14" s="2"/>
    </row>
    <row r="15" spans="1:22" ht="102" x14ac:dyDescent="0.2">
      <c r="A15" s="17">
        <v>3</v>
      </c>
      <c r="B15" s="29" t="s">
        <v>297</v>
      </c>
      <c r="C15" s="30" t="s">
        <v>309</v>
      </c>
      <c r="D15" s="6" t="s">
        <v>64</v>
      </c>
      <c r="E15" s="8" t="s">
        <v>71</v>
      </c>
      <c r="F15" s="9" t="s">
        <v>72</v>
      </c>
      <c r="G15" s="9" t="s">
        <v>73</v>
      </c>
      <c r="H15" s="9" t="s">
        <v>74</v>
      </c>
      <c r="I15" s="9" t="s">
        <v>75</v>
      </c>
      <c r="J15" s="12" t="s">
        <v>10</v>
      </c>
      <c r="K15" s="22">
        <f t="shared" ref="K15:K16" si="12">1/3</f>
        <v>0.33333333333333331</v>
      </c>
      <c r="L15" s="22">
        <f t="shared" si="0"/>
        <v>0.33333333333333331</v>
      </c>
      <c r="M15" s="22">
        <f t="shared" si="1"/>
        <v>0.125</v>
      </c>
      <c r="N15" s="22">
        <f t="shared" si="2"/>
        <v>1.3888888888888888E-2</v>
      </c>
      <c r="O15" s="22">
        <v>10</v>
      </c>
      <c r="P15" s="23">
        <f t="shared" si="3"/>
        <v>0.1388888888888889</v>
      </c>
      <c r="Q15" s="22">
        <f t="shared" si="4"/>
        <v>1.9607843137254902E-2</v>
      </c>
      <c r="R15" s="25">
        <f t="shared" si="5"/>
        <v>0.19607843137254902</v>
      </c>
      <c r="S15" s="22">
        <f t="shared" ref="S15:S20" si="13">1/8</f>
        <v>0.125</v>
      </c>
      <c r="T15" s="22">
        <f t="shared" si="7"/>
        <v>4.3103448275862068E-3</v>
      </c>
      <c r="U15" s="27">
        <f t="shared" si="8"/>
        <v>4.3103448275862072E-2</v>
      </c>
      <c r="V15" s="2"/>
    </row>
    <row r="16" spans="1:22" ht="100.9" customHeight="1" x14ac:dyDescent="0.2">
      <c r="A16" s="17">
        <v>3</v>
      </c>
      <c r="B16" s="29" t="s">
        <v>297</v>
      </c>
      <c r="C16" s="30" t="s">
        <v>309</v>
      </c>
      <c r="D16" s="6" t="s">
        <v>64</v>
      </c>
      <c r="E16" s="7" t="s">
        <v>76</v>
      </c>
      <c r="F16" s="6" t="s">
        <v>77</v>
      </c>
      <c r="G16" s="6" t="s">
        <v>78</v>
      </c>
      <c r="H16" s="6" t="s">
        <v>79</v>
      </c>
      <c r="I16" s="6" t="s">
        <v>80</v>
      </c>
      <c r="J16" s="11" t="s">
        <v>10</v>
      </c>
      <c r="K16" s="22">
        <f t="shared" si="12"/>
        <v>0.33333333333333331</v>
      </c>
      <c r="L16" s="22">
        <f t="shared" si="0"/>
        <v>0.33333333333333331</v>
      </c>
      <c r="M16" s="22">
        <f t="shared" si="1"/>
        <v>0.125</v>
      </c>
      <c r="N16" s="22">
        <f t="shared" si="2"/>
        <v>1.3888888888888888E-2</v>
      </c>
      <c r="O16" s="22">
        <v>12</v>
      </c>
      <c r="P16" s="23">
        <f t="shared" si="3"/>
        <v>0.16666666666666666</v>
      </c>
      <c r="Q16" s="22">
        <f t="shared" si="4"/>
        <v>1.9607843137254902E-2</v>
      </c>
      <c r="R16" s="25">
        <f t="shared" si="5"/>
        <v>0.23529411764705882</v>
      </c>
      <c r="S16" s="22">
        <f t="shared" si="13"/>
        <v>0.125</v>
      </c>
      <c r="T16" s="22">
        <f t="shared" si="7"/>
        <v>4.3103448275862068E-3</v>
      </c>
      <c r="U16" s="27">
        <f t="shared" si="8"/>
        <v>5.1724137931034482E-2</v>
      </c>
      <c r="V16" s="2"/>
    </row>
    <row r="17" spans="1:22" ht="63" customHeight="1" x14ac:dyDescent="0.2">
      <c r="A17" s="17">
        <v>3</v>
      </c>
      <c r="B17" s="29" t="s">
        <v>297</v>
      </c>
      <c r="C17" s="30" t="s">
        <v>310</v>
      </c>
      <c r="D17" s="9" t="s">
        <v>81</v>
      </c>
      <c r="E17" s="8" t="s">
        <v>82</v>
      </c>
      <c r="F17" s="9" t="s">
        <v>83</v>
      </c>
      <c r="G17" s="9" t="s">
        <v>84</v>
      </c>
      <c r="H17" s="9" t="s">
        <v>85</v>
      </c>
      <c r="I17" s="9" t="s">
        <v>86</v>
      </c>
      <c r="J17" s="12" t="s">
        <v>10</v>
      </c>
      <c r="K17" s="22">
        <f t="shared" si="9"/>
        <v>0.5</v>
      </c>
      <c r="L17" s="22">
        <f t="shared" si="0"/>
        <v>0.33333333333333331</v>
      </c>
      <c r="M17" s="22">
        <f t="shared" si="1"/>
        <v>0.125</v>
      </c>
      <c r="N17" s="22">
        <f t="shared" si="2"/>
        <v>2.0833333333333332E-2</v>
      </c>
      <c r="O17" s="22">
        <v>14</v>
      </c>
      <c r="P17" s="23">
        <f t="shared" si="3"/>
        <v>0.29166666666666663</v>
      </c>
      <c r="Q17" s="22">
        <f t="shared" si="4"/>
        <v>1.9607843137254902E-2</v>
      </c>
      <c r="R17" s="25">
        <f t="shared" si="5"/>
        <v>0.27450980392156865</v>
      </c>
      <c r="S17" s="22">
        <f t="shared" si="13"/>
        <v>0.125</v>
      </c>
      <c r="T17" s="22">
        <f t="shared" si="7"/>
        <v>4.3103448275862068E-3</v>
      </c>
      <c r="U17" s="27">
        <f t="shared" si="8"/>
        <v>6.0344827586206892E-2</v>
      </c>
      <c r="V17" s="2"/>
    </row>
    <row r="18" spans="1:22" ht="114.75" x14ac:dyDescent="0.2">
      <c r="A18" s="17">
        <v>3</v>
      </c>
      <c r="B18" s="29" t="s">
        <v>297</v>
      </c>
      <c r="C18" s="30" t="s">
        <v>310</v>
      </c>
      <c r="D18" s="9" t="s">
        <v>81</v>
      </c>
      <c r="E18" s="7" t="s">
        <v>87</v>
      </c>
      <c r="F18" s="6" t="s">
        <v>88</v>
      </c>
      <c r="G18" s="6" t="s">
        <v>89</v>
      </c>
      <c r="H18" s="6" t="s">
        <v>90</v>
      </c>
      <c r="I18" s="6" t="s">
        <v>91</v>
      </c>
      <c r="J18" s="11" t="s">
        <v>10</v>
      </c>
      <c r="K18" s="22">
        <f t="shared" si="9"/>
        <v>0.5</v>
      </c>
      <c r="L18" s="22">
        <f t="shared" si="0"/>
        <v>0.33333333333333331</v>
      </c>
      <c r="M18" s="22">
        <f t="shared" si="1"/>
        <v>0.125</v>
      </c>
      <c r="N18" s="22">
        <f t="shared" si="2"/>
        <v>2.0833333333333332E-2</v>
      </c>
      <c r="O18" s="22">
        <v>16</v>
      </c>
      <c r="P18" s="23">
        <f t="shared" si="3"/>
        <v>0.33333333333333331</v>
      </c>
      <c r="Q18" s="22">
        <f t="shared" si="4"/>
        <v>1.9607843137254902E-2</v>
      </c>
      <c r="R18" s="25">
        <f t="shared" si="5"/>
        <v>0.31372549019607843</v>
      </c>
      <c r="S18" s="22">
        <f t="shared" si="13"/>
        <v>0.125</v>
      </c>
      <c r="T18" s="22">
        <f t="shared" si="7"/>
        <v>4.3103448275862068E-3</v>
      </c>
      <c r="U18" s="27">
        <f t="shared" si="8"/>
        <v>6.8965517241379309E-2</v>
      </c>
      <c r="V18" s="2"/>
    </row>
    <row r="19" spans="1:22" ht="76.5" x14ac:dyDescent="0.2">
      <c r="A19" s="17">
        <v>3</v>
      </c>
      <c r="B19" s="29" t="s">
        <v>297</v>
      </c>
      <c r="C19" s="30" t="s">
        <v>311</v>
      </c>
      <c r="D19" s="9" t="s">
        <v>92</v>
      </c>
      <c r="E19" s="13" t="s">
        <v>93</v>
      </c>
      <c r="F19" s="12" t="s">
        <v>94</v>
      </c>
      <c r="G19" s="9" t="s">
        <v>95</v>
      </c>
      <c r="H19" s="9" t="s">
        <v>96</v>
      </c>
      <c r="I19" s="9" t="s">
        <v>97</v>
      </c>
      <c r="J19" s="12" t="s">
        <v>98</v>
      </c>
      <c r="K19" s="22">
        <f t="shared" si="9"/>
        <v>0.5</v>
      </c>
      <c r="L19" s="22">
        <f t="shared" si="0"/>
        <v>0.33333333333333331</v>
      </c>
      <c r="M19" s="22">
        <f t="shared" si="1"/>
        <v>0.125</v>
      </c>
      <c r="N19" s="22">
        <f t="shared" si="2"/>
        <v>2.0833333333333332E-2</v>
      </c>
      <c r="O19" s="22">
        <v>18</v>
      </c>
      <c r="P19" s="23">
        <f t="shared" si="3"/>
        <v>0.375</v>
      </c>
      <c r="Q19" s="22">
        <f t="shared" si="4"/>
        <v>1.9607843137254902E-2</v>
      </c>
      <c r="R19" s="25">
        <f t="shared" si="5"/>
        <v>0.3529411764705882</v>
      </c>
      <c r="S19" s="22">
        <f t="shared" si="13"/>
        <v>0.125</v>
      </c>
      <c r="T19" s="22">
        <f t="shared" si="7"/>
        <v>4.3103448275862068E-3</v>
      </c>
      <c r="U19" s="27">
        <f t="shared" si="8"/>
        <v>7.7586206896551727E-2</v>
      </c>
      <c r="V19" s="2"/>
    </row>
    <row r="20" spans="1:22" ht="102" x14ac:dyDescent="0.2">
      <c r="A20" s="17">
        <v>3</v>
      </c>
      <c r="B20" s="29" t="s">
        <v>297</v>
      </c>
      <c r="C20" s="30" t="s">
        <v>311</v>
      </c>
      <c r="D20" s="9" t="s">
        <v>92</v>
      </c>
      <c r="E20" s="7" t="s">
        <v>99</v>
      </c>
      <c r="F20" s="6" t="s">
        <v>100</v>
      </c>
      <c r="G20" s="6" t="s">
        <v>101</v>
      </c>
      <c r="H20" s="6" t="s">
        <v>102</v>
      </c>
      <c r="I20" s="6" t="s">
        <v>103</v>
      </c>
      <c r="J20" s="11" t="s">
        <v>70</v>
      </c>
      <c r="K20" s="22">
        <f t="shared" si="9"/>
        <v>0.5</v>
      </c>
      <c r="L20" s="22">
        <f t="shared" si="0"/>
        <v>0.33333333333333331</v>
      </c>
      <c r="M20" s="22">
        <f t="shared" si="1"/>
        <v>0.125</v>
      </c>
      <c r="N20" s="22">
        <f t="shared" si="2"/>
        <v>2.0833333333333332E-2</v>
      </c>
      <c r="O20" s="22">
        <v>20</v>
      </c>
      <c r="P20" s="23">
        <f t="shared" si="3"/>
        <v>0.41666666666666663</v>
      </c>
      <c r="Q20" s="22">
        <f t="shared" si="4"/>
        <v>1.9607843137254902E-2</v>
      </c>
      <c r="R20" s="25">
        <f t="shared" si="5"/>
        <v>0.39215686274509803</v>
      </c>
      <c r="S20" s="22">
        <f t="shared" si="13"/>
        <v>0.125</v>
      </c>
      <c r="T20" s="22">
        <f t="shared" si="7"/>
        <v>4.3103448275862068E-3</v>
      </c>
      <c r="U20" s="27">
        <f t="shared" si="8"/>
        <v>8.6206896551724144E-2</v>
      </c>
      <c r="V20" s="2"/>
    </row>
    <row r="21" spans="1:22" ht="63.75" x14ac:dyDescent="0.2">
      <c r="A21" s="17">
        <v>4</v>
      </c>
      <c r="B21" s="29" t="s">
        <v>298</v>
      </c>
      <c r="C21" s="30" t="s">
        <v>312</v>
      </c>
      <c r="D21" s="9" t="s">
        <v>104</v>
      </c>
      <c r="E21" s="8" t="s">
        <v>105</v>
      </c>
      <c r="F21" s="9" t="s">
        <v>106</v>
      </c>
      <c r="G21" s="9" t="s">
        <v>107</v>
      </c>
      <c r="H21" s="9" t="s">
        <v>108</v>
      </c>
      <c r="I21" s="9" t="s">
        <v>109</v>
      </c>
      <c r="J21" s="12" t="s">
        <v>10</v>
      </c>
      <c r="K21" s="22">
        <f>1/3</f>
        <v>0.33333333333333331</v>
      </c>
      <c r="L21" s="22">
        <f t="shared" si="0"/>
        <v>0.33333333333333331</v>
      </c>
      <c r="M21" s="22">
        <f t="shared" si="1"/>
        <v>0.125</v>
      </c>
      <c r="N21" s="22">
        <f t="shared" si="2"/>
        <v>1.3888888888888888E-2</v>
      </c>
      <c r="O21" s="22">
        <v>22</v>
      </c>
      <c r="P21" s="23">
        <f t="shared" si="3"/>
        <v>0.30555555555555552</v>
      </c>
      <c r="Q21" s="22">
        <f t="shared" si="4"/>
        <v>1.9607843137254902E-2</v>
      </c>
      <c r="R21" s="25">
        <f t="shared" si="5"/>
        <v>0.43137254901960786</v>
      </c>
      <c r="S21" s="22">
        <v>1</v>
      </c>
      <c r="T21" s="22">
        <f t="shared" si="7"/>
        <v>3.4482758620689655E-2</v>
      </c>
      <c r="U21" s="27">
        <f t="shared" si="8"/>
        <v>0.75862068965517238</v>
      </c>
      <c r="V21" s="2"/>
    </row>
    <row r="22" spans="1:22" ht="102" x14ac:dyDescent="0.2">
      <c r="A22" s="17">
        <v>4</v>
      </c>
      <c r="B22" s="29" t="s">
        <v>298</v>
      </c>
      <c r="C22" s="30" t="s">
        <v>312</v>
      </c>
      <c r="D22" s="9" t="s">
        <v>104</v>
      </c>
      <c r="E22" s="7" t="s">
        <v>110</v>
      </c>
      <c r="F22" s="6" t="s">
        <v>111</v>
      </c>
      <c r="G22" s="6" t="s">
        <v>112</v>
      </c>
      <c r="H22" s="6" t="s">
        <v>113</v>
      </c>
      <c r="I22" s="6" t="s">
        <v>114</v>
      </c>
      <c r="J22" s="11" t="s">
        <v>10</v>
      </c>
      <c r="K22" s="22">
        <f t="shared" ref="K22:K23" si="14">1/3</f>
        <v>0.33333333333333331</v>
      </c>
      <c r="L22" s="22">
        <f t="shared" si="0"/>
        <v>0.33333333333333331</v>
      </c>
      <c r="M22" s="22">
        <f t="shared" si="1"/>
        <v>0.125</v>
      </c>
      <c r="N22" s="22">
        <f t="shared" si="2"/>
        <v>1.3888888888888888E-2</v>
      </c>
      <c r="O22" s="22">
        <v>0</v>
      </c>
      <c r="P22" s="23">
        <f t="shared" si="3"/>
        <v>0</v>
      </c>
      <c r="Q22" s="22">
        <f t="shared" si="4"/>
        <v>1.9607843137254902E-2</v>
      </c>
      <c r="R22" s="25">
        <f t="shared" si="5"/>
        <v>0</v>
      </c>
      <c r="S22" s="22">
        <v>1</v>
      </c>
      <c r="T22" s="22">
        <f t="shared" si="7"/>
        <v>3.4482758620689655E-2</v>
      </c>
      <c r="U22" s="27">
        <f t="shared" si="8"/>
        <v>0</v>
      </c>
      <c r="V22" s="2"/>
    </row>
    <row r="23" spans="1:22" ht="63.75" x14ac:dyDescent="0.2">
      <c r="A23" s="17">
        <v>4</v>
      </c>
      <c r="B23" s="29" t="s">
        <v>298</v>
      </c>
      <c r="C23" s="30" t="s">
        <v>312</v>
      </c>
      <c r="D23" s="9" t="s">
        <v>104</v>
      </c>
      <c r="E23" s="8" t="s">
        <v>115</v>
      </c>
      <c r="F23" s="9" t="s">
        <v>116</v>
      </c>
      <c r="G23" s="9" t="s">
        <v>117</v>
      </c>
      <c r="H23" s="9" t="s">
        <v>118</v>
      </c>
      <c r="I23" s="9" t="s">
        <v>119</v>
      </c>
      <c r="J23" s="12" t="s">
        <v>10</v>
      </c>
      <c r="K23" s="22">
        <f t="shared" si="14"/>
        <v>0.33333333333333331</v>
      </c>
      <c r="L23" s="22">
        <f t="shared" si="0"/>
        <v>0.33333333333333331</v>
      </c>
      <c r="M23" s="22">
        <f t="shared" si="1"/>
        <v>0.125</v>
      </c>
      <c r="N23" s="22">
        <f t="shared" si="2"/>
        <v>1.3888888888888888E-2</v>
      </c>
      <c r="O23" s="22">
        <v>0</v>
      </c>
      <c r="P23" s="23">
        <f t="shared" si="3"/>
        <v>0</v>
      </c>
      <c r="Q23" s="22">
        <f t="shared" si="4"/>
        <v>1.9607843137254902E-2</v>
      </c>
      <c r="R23" s="25">
        <f t="shared" si="5"/>
        <v>0</v>
      </c>
      <c r="S23" s="22">
        <v>1</v>
      </c>
      <c r="T23" s="22">
        <f t="shared" si="7"/>
        <v>3.4482758620689655E-2</v>
      </c>
      <c r="U23" s="27">
        <f t="shared" si="8"/>
        <v>0</v>
      </c>
      <c r="V23" s="2"/>
    </row>
    <row r="24" spans="1:22" ht="89.25" x14ac:dyDescent="0.2">
      <c r="A24" s="17">
        <v>4</v>
      </c>
      <c r="B24" s="29" t="s">
        <v>298</v>
      </c>
      <c r="C24" s="30" t="s">
        <v>313</v>
      </c>
      <c r="D24" s="16" t="s">
        <v>120</v>
      </c>
      <c r="E24" s="7" t="s">
        <v>121</v>
      </c>
      <c r="F24" s="6" t="s">
        <v>122</v>
      </c>
      <c r="G24" s="6" t="s">
        <v>123</v>
      </c>
      <c r="H24" s="6" t="s">
        <v>124</v>
      </c>
      <c r="I24" s="6" t="s">
        <v>125</v>
      </c>
      <c r="J24" s="11" t="s">
        <v>10</v>
      </c>
      <c r="K24" s="22">
        <f t="shared" si="9"/>
        <v>0.5</v>
      </c>
      <c r="L24" s="22">
        <f t="shared" si="0"/>
        <v>0.33333333333333331</v>
      </c>
      <c r="M24" s="22">
        <f t="shared" si="1"/>
        <v>0.125</v>
      </c>
      <c r="N24" s="22">
        <f t="shared" si="2"/>
        <v>2.0833333333333332E-2</v>
      </c>
      <c r="O24" s="22">
        <v>0</v>
      </c>
      <c r="P24" s="23">
        <f t="shared" si="3"/>
        <v>0</v>
      </c>
      <c r="Q24" s="22">
        <f t="shared" si="4"/>
        <v>1.9607843137254902E-2</v>
      </c>
      <c r="R24" s="25">
        <f t="shared" si="5"/>
        <v>0</v>
      </c>
      <c r="S24" s="22">
        <v>1</v>
      </c>
      <c r="T24" s="22">
        <f t="shared" si="7"/>
        <v>3.4482758620689655E-2</v>
      </c>
      <c r="U24" s="27">
        <f t="shared" si="8"/>
        <v>0</v>
      </c>
      <c r="V24" s="2"/>
    </row>
    <row r="25" spans="1:22" ht="76.5" x14ac:dyDescent="0.2">
      <c r="A25" s="17">
        <v>4</v>
      </c>
      <c r="B25" s="29" t="s">
        <v>298</v>
      </c>
      <c r="C25" s="30" t="s">
        <v>313</v>
      </c>
      <c r="D25" s="16" t="s">
        <v>120</v>
      </c>
      <c r="E25" s="8" t="s">
        <v>126</v>
      </c>
      <c r="F25" s="9" t="s">
        <v>127</v>
      </c>
      <c r="G25" s="9" t="s">
        <v>128</v>
      </c>
      <c r="H25" s="9" t="s">
        <v>129</v>
      </c>
      <c r="I25" s="9" t="s">
        <v>130</v>
      </c>
      <c r="J25" s="12" t="s">
        <v>70</v>
      </c>
      <c r="K25" s="22">
        <f t="shared" si="9"/>
        <v>0.5</v>
      </c>
      <c r="L25" s="22">
        <f t="shared" si="0"/>
        <v>0.33333333333333331</v>
      </c>
      <c r="M25" s="22">
        <f t="shared" si="1"/>
        <v>0.125</v>
      </c>
      <c r="N25" s="22">
        <f t="shared" si="2"/>
        <v>2.0833333333333332E-2</v>
      </c>
      <c r="O25" s="22">
        <v>0</v>
      </c>
      <c r="P25" s="23">
        <f t="shared" si="3"/>
        <v>0</v>
      </c>
      <c r="Q25" s="22">
        <f t="shared" si="4"/>
        <v>1.9607843137254902E-2</v>
      </c>
      <c r="R25" s="25">
        <f t="shared" si="5"/>
        <v>0</v>
      </c>
      <c r="S25" s="22">
        <v>1</v>
      </c>
      <c r="T25" s="22">
        <f t="shared" si="7"/>
        <v>3.4482758620689655E-2</v>
      </c>
      <c r="U25" s="27">
        <f t="shared" si="8"/>
        <v>0</v>
      </c>
      <c r="V25" s="2"/>
    </row>
    <row r="26" spans="1:22" ht="76.5" x14ac:dyDescent="0.2">
      <c r="A26" s="17">
        <v>4</v>
      </c>
      <c r="B26" s="29" t="s">
        <v>298</v>
      </c>
      <c r="C26" s="30" t="s">
        <v>314</v>
      </c>
      <c r="D26" s="16" t="s">
        <v>131</v>
      </c>
      <c r="E26" s="7" t="s">
        <v>132</v>
      </c>
      <c r="F26" s="6" t="s">
        <v>133</v>
      </c>
      <c r="G26" s="6" t="s">
        <v>134</v>
      </c>
      <c r="H26" s="6" t="s">
        <v>135</v>
      </c>
      <c r="I26" s="6" t="s">
        <v>136</v>
      </c>
      <c r="J26" s="6" t="s">
        <v>10</v>
      </c>
      <c r="K26" s="22">
        <f t="shared" si="9"/>
        <v>0.5</v>
      </c>
      <c r="L26" s="22">
        <f t="shared" si="0"/>
        <v>0.33333333333333331</v>
      </c>
      <c r="M26" s="22">
        <f t="shared" si="1"/>
        <v>0.125</v>
      </c>
      <c r="N26" s="22">
        <f t="shared" si="2"/>
        <v>2.0833333333333332E-2</v>
      </c>
      <c r="O26" s="22">
        <v>2</v>
      </c>
      <c r="P26" s="23">
        <f t="shared" si="3"/>
        <v>4.1666666666666664E-2</v>
      </c>
      <c r="Q26" s="22">
        <f t="shared" si="4"/>
        <v>1.9607843137254902E-2</v>
      </c>
      <c r="R26" s="25">
        <f t="shared" si="5"/>
        <v>3.9215686274509803E-2</v>
      </c>
      <c r="S26" s="22">
        <v>1</v>
      </c>
      <c r="T26" s="22">
        <f t="shared" si="7"/>
        <v>3.4482758620689655E-2</v>
      </c>
      <c r="U26" s="27">
        <f t="shared" si="8"/>
        <v>6.8965517241379309E-2</v>
      </c>
      <c r="V26" s="2"/>
    </row>
    <row r="27" spans="1:22" ht="89.25" x14ac:dyDescent="0.2">
      <c r="A27" s="17">
        <v>4</v>
      </c>
      <c r="B27" s="29" t="s">
        <v>298</v>
      </c>
      <c r="C27" s="30" t="s">
        <v>314</v>
      </c>
      <c r="D27" s="16" t="s">
        <v>131</v>
      </c>
      <c r="E27" s="8" t="s">
        <v>137</v>
      </c>
      <c r="F27" s="9" t="s">
        <v>138</v>
      </c>
      <c r="G27" s="9" t="s">
        <v>139</v>
      </c>
      <c r="H27" s="9" t="s">
        <v>140</v>
      </c>
      <c r="I27" s="9" t="s">
        <v>141</v>
      </c>
      <c r="J27" s="9" t="s">
        <v>142</v>
      </c>
      <c r="K27" s="22">
        <f t="shared" si="9"/>
        <v>0.5</v>
      </c>
      <c r="L27" s="22">
        <f t="shared" si="0"/>
        <v>0.33333333333333331</v>
      </c>
      <c r="M27" s="22">
        <f t="shared" si="1"/>
        <v>0.125</v>
      </c>
      <c r="N27" s="22">
        <f t="shared" si="2"/>
        <v>2.0833333333333332E-2</v>
      </c>
      <c r="O27" s="22">
        <v>4</v>
      </c>
      <c r="P27" s="23">
        <f t="shared" si="3"/>
        <v>8.3333333333333329E-2</v>
      </c>
      <c r="Q27" s="22">
        <f t="shared" si="4"/>
        <v>1.9607843137254902E-2</v>
      </c>
      <c r="R27" s="25">
        <f t="shared" si="5"/>
        <v>7.8431372549019607E-2</v>
      </c>
      <c r="S27" s="22">
        <v>1</v>
      </c>
      <c r="T27" s="22">
        <f t="shared" si="7"/>
        <v>3.4482758620689655E-2</v>
      </c>
      <c r="U27" s="27">
        <f t="shared" si="8"/>
        <v>0.13793103448275862</v>
      </c>
      <c r="V27" s="2"/>
    </row>
    <row r="28" spans="1:22" ht="63.75" x14ac:dyDescent="0.2">
      <c r="A28" s="17">
        <v>5</v>
      </c>
      <c r="B28" s="29" t="s">
        <v>299</v>
      </c>
      <c r="C28" s="30" t="s">
        <v>315</v>
      </c>
      <c r="D28" s="6" t="s">
        <v>143</v>
      </c>
      <c r="E28" s="7" t="s">
        <v>144</v>
      </c>
      <c r="F28" s="6" t="s">
        <v>145</v>
      </c>
      <c r="G28" s="6" t="s">
        <v>146</v>
      </c>
      <c r="H28" s="6" t="s">
        <v>147</v>
      </c>
      <c r="I28" s="6" t="s">
        <v>148</v>
      </c>
      <c r="J28" s="6" t="s">
        <v>142</v>
      </c>
      <c r="K28" s="22">
        <f t="shared" si="9"/>
        <v>0.5</v>
      </c>
      <c r="L28" s="22">
        <f t="shared" si="0"/>
        <v>0.33333333333333331</v>
      </c>
      <c r="M28" s="22">
        <f t="shared" si="1"/>
        <v>0.125</v>
      </c>
      <c r="N28" s="22">
        <f t="shared" si="2"/>
        <v>2.0833333333333332E-2</v>
      </c>
      <c r="O28" s="22">
        <v>6</v>
      </c>
      <c r="P28" s="23">
        <f t="shared" si="3"/>
        <v>0.125</v>
      </c>
      <c r="Q28" s="22">
        <f t="shared" si="4"/>
        <v>1.9607843137254902E-2</v>
      </c>
      <c r="R28" s="25">
        <f t="shared" si="5"/>
        <v>0.11764705882352941</v>
      </c>
      <c r="S28" s="22">
        <f>5/8</f>
        <v>0.625</v>
      </c>
      <c r="T28" s="22">
        <f t="shared" si="7"/>
        <v>2.1551724137931036E-2</v>
      </c>
      <c r="U28" s="27">
        <f t="shared" si="8"/>
        <v>0.12931034482758622</v>
      </c>
      <c r="V28" s="2"/>
    </row>
    <row r="29" spans="1:22" ht="89.25" x14ac:dyDescent="0.2">
      <c r="A29" s="17">
        <v>5</v>
      </c>
      <c r="B29" s="29" t="s">
        <v>299</v>
      </c>
      <c r="C29" s="30" t="s">
        <v>315</v>
      </c>
      <c r="D29" s="6" t="s">
        <v>143</v>
      </c>
      <c r="E29" s="8" t="s">
        <v>149</v>
      </c>
      <c r="F29" s="9" t="s">
        <v>150</v>
      </c>
      <c r="G29" s="9" t="s">
        <v>151</v>
      </c>
      <c r="H29" s="9" t="s">
        <v>152</v>
      </c>
      <c r="I29" s="9" t="s">
        <v>148</v>
      </c>
      <c r="J29" s="9" t="s">
        <v>142</v>
      </c>
      <c r="K29" s="22">
        <f t="shared" si="9"/>
        <v>0.5</v>
      </c>
      <c r="L29" s="22">
        <f t="shared" si="0"/>
        <v>0.33333333333333331</v>
      </c>
      <c r="M29" s="22">
        <f t="shared" si="1"/>
        <v>0.125</v>
      </c>
      <c r="N29" s="22">
        <f t="shared" si="2"/>
        <v>2.0833333333333332E-2</v>
      </c>
      <c r="O29" s="22">
        <v>8</v>
      </c>
      <c r="P29" s="23">
        <f t="shared" si="3"/>
        <v>0.16666666666666666</v>
      </c>
      <c r="Q29" s="22">
        <f t="shared" si="4"/>
        <v>1.9607843137254902E-2</v>
      </c>
      <c r="R29" s="25">
        <f t="shared" si="5"/>
        <v>0.15686274509803921</v>
      </c>
      <c r="S29" s="22">
        <f t="shared" ref="S29:S33" si="15">5/8</f>
        <v>0.625</v>
      </c>
      <c r="T29" s="22">
        <f t="shared" si="7"/>
        <v>2.1551724137931036E-2</v>
      </c>
      <c r="U29" s="27">
        <f t="shared" si="8"/>
        <v>0.17241379310344829</v>
      </c>
      <c r="V29" s="2"/>
    </row>
    <row r="30" spans="1:22" ht="89.25" x14ac:dyDescent="0.2">
      <c r="A30" s="17">
        <v>5</v>
      </c>
      <c r="B30" s="29" t="s">
        <v>299</v>
      </c>
      <c r="C30" s="30" t="s">
        <v>316</v>
      </c>
      <c r="D30" s="6" t="s">
        <v>153</v>
      </c>
      <c r="E30" s="7" t="s">
        <v>154</v>
      </c>
      <c r="F30" s="6" t="s">
        <v>155</v>
      </c>
      <c r="G30" s="6" t="s">
        <v>156</v>
      </c>
      <c r="H30" s="6" t="s">
        <v>157</v>
      </c>
      <c r="I30" s="6" t="s">
        <v>158</v>
      </c>
      <c r="J30" s="6" t="s">
        <v>159</v>
      </c>
      <c r="K30" s="22">
        <f t="shared" si="9"/>
        <v>0.5</v>
      </c>
      <c r="L30" s="22">
        <f t="shared" si="0"/>
        <v>0.33333333333333331</v>
      </c>
      <c r="M30" s="22">
        <f t="shared" si="1"/>
        <v>0.125</v>
      </c>
      <c r="N30" s="22">
        <f t="shared" si="2"/>
        <v>2.0833333333333332E-2</v>
      </c>
      <c r="O30" s="22">
        <v>10</v>
      </c>
      <c r="P30" s="23">
        <f t="shared" si="3"/>
        <v>0.20833333333333331</v>
      </c>
      <c r="Q30" s="22">
        <f t="shared" si="4"/>
        <v>1.9607843137254902E-2</v>
      </c>
      <c r="R30" s="25">
        <f t="shared" si="5"/>
        <v>0.19607843137254902</v>
      </c>
      <c r="S30" s="22">
        <f t="shared" si="15"/>
        <v>0.625</v>
      </c>
      <c r="T30" s="22">
        <f t="shared" si="7"/>
        <v>2.1551724137931036E-2</v>
      </c>
      <c r="U30" s="27">
        <f t="shared" si="8"/>
        <v>0.21551724137931036</v>
      </c>
      <c r="V30" s="2"/>
    </row>
    <row r="31" spans="1:22" ht="89.25" x14ac:dyDescent="0.2">
      <c r="A31" s="17">
        <v>5</v>
      </c>
      <c r="B31" s="29" t="s">
        <v>299</v>
      </c>
      <c r="C31" s="30" t="s">
        <v>316</v>
      </c>
      <c r="D31" s="6" t="s">
        <v>153</v>
      </c>
      <c r="E31" s="8" t="s">
        <v>160</v>
      </c>
      <c r="F31" s="9" t="s">
        <v>161</v>
      </c>
      <c r="G31" s="9" t="s">
        <v>162</v>
      </c>
      <c r="H31" s="9" t="s">
        <v>163</v>
      </c>
      <c r="I31" s="9" t="s">
        <v>164</v>
      </c>
      <c r="J31" s="9" t="s">
        <v>10</v>
      </c>
      <c r="K31" s="22">
        <f t="shared" si="9"/>
        <v>0.5</v>
      </c>
      <c r="L31" s="22">
        <f t="shared" si="0"/>
        <v>0.33333333333333331</v>
      </c>
      <c r="M31" s="22">
        <f t="shared" si="1"/>
        <v>0.125</v>
      </c>
      <c r="N31" s="22">
        <f t="shared" si="2"/>
        <v>2.0833333333333332E-2</v>
      </c>
      <c r="O31" s="22">
        <v>12</v>
      </c>
      <c r="P31" s="23">
        <f t="shared" si="3"/>
        <v>0.25</v>
      </c>
      <c r="Q31" s="22">
        <f t="shared" si="4"/>
        <v>1.9607843137254902E-2</v>
      </c>
      <c r="R31" s="25">
        <f t="shared" si="5"/>
        <v>0.23529411764705882</v>
      </c>
      <c r="S31" s="22">
        <f t="shared" si="15"/>
        <v>0.625</v>
      </c>
      <c r="T31" s="22">
        <f t="shared" si="7"/>
        <v>2.1551724137931036E-2</v>
      </c>
      <c r="U31" s="27">
        <f t="shared" si="8"/>
        <v>0.25862068965517243</v>
      </c>
      <c r="V31" s="2"/>
    </row>
    <row r="32" spans="1:22" ht="51" x14ac:dyDescent="0.2">
      <c r="A32" s="17">
        <v>5</v>
      </c>
      <c r="B32" s="29" t="s">
        <v>299</v>
      </c>
      <c r="C32" s="30" t="s">
        <v>317</v>
      </c>
      <c r="D32" s="6" t="s">
        <v>165</v>
      </c>
      <c r="E32" s="7" t="s">
        <v>166</v>
      </c>
      <c r="F32" s="6" t="s">
        <v>167</v>
      </c>
      <c r="G32" s="6" t="s">
        <v>168</v>
      </c>
      <c r="H32" s="6" t="s">
        <v>169</v>
      </c>
      <c r="I32" s="6" t="s">
        <v>164</v>
      </c>
      <c r="J32" s="6" t="s">
        <v>10</v>
      </c>
      <c r="K32" s="22">
        <f t="shared" si="9"/>
        <v>0.5</v>
      </c>
      <c r="L32" s="22">
        <f t="shared" si="0"/>
        <v>0.33333333333333331</v>
      </c>
      <c r="M32" s="22">
        <f t="shared" si="1"/>
        <v>0.125</v>
      </c>
      <c r="N32" s="22">
        <f t="shared" si="2"/>
        <v>2.0833333333333332E-2</v>
      </c>
      <c r="O32" s="22">
        <v>14</v>
      </c>
      <c r="P32" s="23">
        <f t="shared" si="3"/>
        <v>0.29166666666666663</v>
      </c>
      <c r="Q32" s="22">
        <f t="shared" si="4"/>
        <v>1.9607843137254902E-2</v>
      </c>
      <c r="R32" s="25">
        <f t="shared" si="5"/>
        <v>0.27450980392156865</v>
      </c>
      <c r="S32" s="22">
        <f t="shared" si="15"/>
        <v>0.625</v>
      </c>
      <c r="T32" s="22">
        <f t="shared" si="7"/>
        <v>2.1551724137931036E-2</v>
      </c>
      <c r="U32" s="27">
        <f t="shared" si="8"/>
        <v>0.30172413793103448</v>
      </c>
      <c r="V32" s="2"/>
    </row>
    <row r="33" spans="1:22" ht="51" x14ac:dyDescent="0.2">
      <c r="A33" s="17">
        <v>5</v>
      </c>
      <c r="B33" s="29" t="s">
        <v>299</v>
      </c>
      <c r="C33" s="30" t="s">
        <v>317</v>
      </c>
      <c r="D33" s="6" t="s">
        <v>165</v>
      </c>
      <c r="E33" s="8" t="s">
        <v>170</v>
      </c>
      <c r="F33" s="9" t="s">
        <v>171</v>
      </c>
      <c r="G33" s="9" t="s">
        <v>172</v>
      </c>
      <c r="H33" s="9" t="s">
        <v>173</v>
      </c>
      <c r="I33" s="9" t="s">
        <v>164</v>
      </c>
      <c r="J33" s="9" t="s">
        <v>10</v>
      </c>
      <c r="K33" s="22">
        <f t="shared" si="9"/>
        <v>0.5</v>
      </c>
      <c r="L33" s="22">
        <f t="shared" si="0"/>
        <v>0.33333333333333331</v>
      </c>
      <c r="M33" s="22">
        <f t="shared" si="1"/>
        <v>0.125</v>
      </c>
      <c r="N33" s="22">
        <f t="shared" si="2"/>
        <v>2.0833333333333332E-2</v>
      </c>
      <c r="O33" s="22">
        <v>16</v>
      </c>
      <c r="P33" s="23">
        <f t="shared" si="3"/>
        <v>0.33333333333333331</v>
      </c>
      <c r="Q33" s="22">
        <f t="shared" si="4"/>
        <v>1.9607843137254902E-2</v>
      </c>
      <c r="R33" s="25">
        <f t="shared" si="5"/>
        <v>0.31372549019607843</v>
      </c>
      <c r="S33" s="22">
        <f t="shared" si="15"/>
        <v>0.625</v>
      </c>
      <c r="T33" s="22">
        <f t="shared" si="7"/>
        <v>2.1551724137931036E-2</v>
      </c>
      <c r="U33" s="27">
        <f t="shared" si="8"/>
        <v>0.34482758620689657</v>
      </c>
      <c r="V33" s="2"/>
    </row>
    <row r="34" spans="1:22" ht="38.25" x14ac:dyDescent="0.2">
      <c r="A34" s="17">
        <v>6</v>
      </c>
      <c r="B34" s="29" t="s">
        <v>300</v>
      </c>
      <c r="C34" s="30" t="s">
        <v>318</v>
      </c>
      <c r="D34" s="6" t="s">
        <v>174</v>
      </c>
      <c r="E34" s="7" t="s">
        <v>175</v>
      </c>
      <c r="F34" s="6" t="s">
        <v>176</v>
      </c>
      <c r="G34" s="6" t="s">
        <v>177</v>
      </c>
      <c r="H34" s="6" t="s">
        <v>178</v>
      </c>
      <c r="I34" s="6" t="s">
        <v>179</v>
      </c>
      <c r="J34" s="6" t="s">
        <v>10</v>
      </c>
      <c r="K34" s="22">
        <f t="shared" si="9"/>
        <v>0.5</v>
      </c>
      <c r="L34" s="22">
        <f t="shared" si="0"/>
        <v>0.33333333333333331</v>
      </c>
      <c r="M34" s="22">
        <f t="shared" si="1"/>
        <v>0.125</v>
      </c>
      <c r="N34" s="22">
        <f t="shared" si="2"/>
        <v>2.0833333333333332E-2</v>
      </c>
      <c r="O34" s="22">
        <v>18</v>
      </c>
      <c r="P34" s="23">
        <f t="shared" si="3"/>
        <v>0.375</v>
      </c>
      <c r="Q34" s="22">
        <f t="shared" si="4"/>
        <v>1.9607843137254902E-2</v>
      </c>
      <c r="R34" s="25">
        <f t="shared" si="5"/>
        <v>0.3529411764705882</v>
      </c>
      <c r="S34" s="22">
        <f>6/8</f>
        <v>0.75</v>
      </c>
      <c r="T34" s="22">
        <f t="shared" si="7"/>
        <v>2.5862068965517241E-2</v>
      </c>
      <c r="U34" s="27">
        <f t="shared" si="8"/>
        <v>0.46551724137931033</v>
      </c>
      <c r="V34" s="2"/>
    </row>
    <row r="35" spans="1:22" ht="51" x14ac:dyDescent="0.2">
      <c r="A35" s="17">
        <v>6</v>
      </c>
      <c r="B35" s="29" t="s">
        <v>300</v>
      </c>
      <c r="C35" s="30" t="s">
        <v>318</v>
      </c>
      <c r="D35" s="6" t="s">
        <v>174</v>
      </c>
      <c r="E35" s="8" t="s">
        <v>180</v>
      </c>
      <c r="F35" s="9" t="s">
        <v>181</v>
      </c>
      <c r="G35" s="9" t="s">
        <v>182</v>
      </c>
      <c r="H35" s="9" t="s">
        <v>183</v>
      </c>
      <c r="I35" s="9" t="s">
        <v>38</v>
      </c>
      <c r="J35" s="9" t="s">
        <v>10</v>
      </c>
      <c r="K35" s="22">
        <f t="shared" si="9"/>
        <v>0.5</v>
      </c>
      <c r="L35" s="22">
        <f t="shared" si="0"/>
        <v>0.33333333333333331</v>
      </c>
      <c r="M35" s="22">
        <f t="shared" si="1"/>
        <v>0.125</v>
      </c>
      <c r="N35" s="22">
        <f t="shared" si="2"/>
        <v>2.0833333333333332E-2</v>
      </c>
      <c r="O35" s="22">
        <v>20</v>
      </c>
      <c r="P35" s="23">
        <f t="shared" si="3"/>
        <v>0.41666666666666663</v>
      </c>
      <c r="Q35" s="22">
        <f t="shared" si="4"/>
        <v>1.9607843137254902E-2</v>
      </c>
      <c r="R35" s="25">
        <f t="shared" si="5"/>
        <v>0.39215686274509803</v>
      </c>
      <c r="S35" s="22">
        <f t="shared" ref="S35:S40" si="16">6/8</f>
        <v>0.75</v>
      </c>
      <c r="T35" s="22">
        <f t="shared" si="7"/>
        <v>2.5862068965517241E-2</v>
      </c>
      <c r="U35" s="27">
        <f t="shared" si="8"/>
        <v>0.51724137931034486</v>
      </c>
      <c r="V35" s="2"/>
    </row>
    <row r="36" spans="1:22" ht="63.75" x14ac:dyDescent="0.2">
      <c r="A36" s="17">
        <v>6</v>
      </c>
      <c r="B36" s="29" t="s">
        <v>300</v>
      </c>
      <c r="C36" s="30" t="s">
        <v>319</v>
      </c>
      <c r="D36" s="6" t="s">
        <v>184</v>
      </c>
      <c r="E36" s="14" t="s">
        <v>185</v>
      </c>
      <c r="F36" s="11" t="s">
        <v>186</v>
      </c>
      <c r="G36" s="11" t="s">
        <v>187</v>
      </c>
      <c r="H36" s="6" t="s">
        <v>188</v>
      </c>
      <c r="I36" s="6" t="s">
        <v>189</v>
      </c>
      <c r="J36" s="6" t="s">
        <v>10</v>
      </c>
      <c r="K36" s="22">
        <f>1/3</f>
        <v>0.33333333333333331</v>
      </c>
      <c r="L36" s="22">
        <f t="shared" si="0"/>
        <v>0.33333333333333331</v>
      </c>
      <c r="M36" s="22">
        <f t="shared" si="1"/>
        <v>0.125</v>
      </c>
      <c r="N36" s="22">
        <f t="shared" si="2"/>
        <v>1.3888888888888888E-2</v>
      </c>
      <c r="O36" s="22">
        <v>0</v>
      </c>
      <c r="P36" s="23">
        <f t="shared" si="3"/>
        <v>0</v>
      </c>
      <c r="Q36" s="22">
        <f t="shared" si="4"/>
        <v>1.9607843137254902E-2</v>
      </c>
      <c r="R36" s="25">
        <f t="shared" si="5"/>
        <v>0</v>
      </c>
      <c r="S36" s="22">
        <f t="shared" si="16"/>
        <v>0.75</v>
      </c>
      <c r="T36" s="22">
        <f t="shared" si="7"/>
        <v>2.5862068965517241E-2</v>
      </c>
      <c r="U36" s="27">
        <f t="shared" si="8"/>
        <v>0</v>
      </c>
      <c r="V36" s="2"/>
    </row>
    <row r="37" spans="1:22" ht="51" x14ac:dyDescent="0.2">
      <c r="A37" s="17">
        <v>6</v>
      </c>
      <c r="B37" s="29" t="s">
        <v>300</v>
      </c>
      <c r="C37" s="30" t="s">
        <v>319</v>
      </c>
      <c r="D37" s="6" t="s">
        <v>184</v>
      </c>
      <c r="E37" s="8" t="s">
        <v>190</v>
      </c>
      <c r="F37" s="9" t="s">
        <v>191</v>
      </c>
      <c r="G37" s="9" t="s">
        <v>192</v>
      </c>
      <c r="H37" s="9" t="s">
        <v>193</v>
      </c>
      <c r="I37" s="9" t="s">
        <v>194</v>
      </c>
      <c r="J37" s="9" t="s">
        <v>195</v>
      </c>
      <c r="K37" s="22">
        <f t="shared" ref="K37:K38" si="17">1/3</f>
        <v>0.33333333333333331</v>
      </c>
      <c r="L37" s="22">
        <f t="shared" si="0"/>
        <v>0.33333333333333331</v>
      </c>
      <c r="M37" s="22">
        <f t="shared" si="1"/>
        <v>0.125</v>
      </c>
      <c r="N37" s="22">
        <f t="shared" si="2"/>
        <v>1.3888888888888888E-2</v>
      </c>
      <c r="O37" s="22">
        <v>0</v>
      </c>
      <c r="P37" s="23">
        <f t="shared" si="3"/>
        <v>0</v>
      </c>
      <c r="Q37" s="22">
        <f t="shared" si="4"/>
        <v>1.9607843137254902E-2</v>
      </c>
      <c r="R37" s="25">
        <f t="shared" si="5"/>
        <v>0</v>
      </c>
      <c r="S37" s="22">
        <f t="shared" si="16"/>
        <v>0.75</v>
      </c>
      <c r="T37" s="22">
        <f t="shared" si="7"/>
        <v>2.5862068965517241E-2</v>
      </c>
      <c r="U37" s="27">
        <f t="shared" si="8"/>
        <v>0</v>
      </c>
      <c r="V37" s="2"/>
    </row>
    <row r="38" spans="1:22" ht="51" x14ac:dyDescent="0.2">
      <c r="A38" s="17">
        <v>6</v>
      </c>
      <c r="B38" s="29" t="s">
        <v>300</v>
      </c>
      <c r="C38" s="30" t="s">
        <v>319</v>
      </c>
      <c r="D38" s="6" t="s">
        <v>184</v>
      </c>
      <c r="E38" s="7" t="s">
        <v>196</v>
      </c>
      <c r="F38" s="6" t="s">
        <v>197</v>
      </c>
      <c r="G38" s="6" t="s">
        <v>198</v>
      </c>
      <c r="H38" s="6" t="s">
        <v>199</v>
      </c>
      <c r="I38" s="6" t="s">
        <v>194</v>
      </c>
      <c r="J38" s="6" t="s">
        <v>10</v>
      </c>
      <c r="K38" s="22">
        <f t="shared" si="17"/>
        <v>0.33333333333333331</v>
      </c>
      <c r="L38" s="22">
        <f t="shared" si="0"/>
        <v>0.33333333333333331</v>
      </c>
      <c r="M38" s="22">
        <f t="shared" si="1"/>
        <v>0.125</v>
      </c>
      <c r="N38" s="22">
        <f t="shared" si="2"/>
        <v>1.3888888888888888E-2</v>
      </c>
      <c r="O38" s="22">
        <v>0</v>
      </c>
      <c r="P38" s="23">
        <f t="shared" si="3"/>
        <v>0</v>
      </c>
      <c r="Q38" s="22">
        <f t="shared" si="4"/>
        <v>1.9607843137254902E-2</v>
      </c>
      <c r="R38" s="25">
        <f t="shared" si="5"/>
        <v>0</v>
      </c>
      <c r="S38" s="22">
        <f t="shared" si="16"/>
        <v>0.75</v>
      </c>
      <c r="T38" s="22">
        <f t="shared" si="7"/>
        <v>2.5862068965517241E-2</v>
      </c>
      <c r="U38" s="27">
        <f t="shared" si="8"/>
        <v>0</v>
      </c>
      <c r="V38" s="2"/>
    </row>
    <row r="39" spans="1:22" ht="37.9" customHeight="1" x14ac:dyDescent="0.2">
      <c r="A39" s="17">
        <v>6</v>
      </c>
      <c r="B39" s="29" t="s">
        <v>300</v>
      </c>
      <c r="C39" s="30" t="s">
        <v>320</v>
      </c>
      <c r="D39" s="9" t="s">
        <v>200</v>
      </c>
      <c r="E39" s="8" t="s">
        <v>201</v>
      </c>
      <c r="F39" s="9" t="s">
        <v>202</v>
      </c>
      <c r="G39" s="9" t="s">
        <v>203</v>
      </c>
      <c r="H39" s="9" t="s">
        <v>204</v>
      </c>
      <c r="I39" s="9" t="s">
        <v>189</v>
      </c>
      <c r="J39" s="9" t="s">
        <v>205</v>
      </c>
      <c r="K39" s="22">
        <f t="shared" si="9"/>
        <v>0.5</v>
      </c>
      <c r="L39" s="22">
        <f t="shared" si="0"/>
        <v>0.33333333333333331</v>
      </c>
      <c r="M39" s="22">
        <f t="shared" si="1"/>
        <v>0.125</v>
      </c>
      <c r="N39" s="22">
        <f t="shared" si="2"/>
        <v>2.0833333333333332E-2</v>
      </c>
      <c r="O39" s="22">
        <v>0</v>
      </c>
      <c r="P39" s="23">
        <f t="shared" si="3"/>
        <v>0</v>
      </c>
      <c r="Q39" s="22">
        <f t="shared" si="4"/>
        <v>1.9607843137254902E-2</v>
      </c>
      <c r="R39" s="25">
        <f t="shared" si="5"/>
        <v>0</v>
      </c>
      <c r="S39" s="22">
        <f t="shared" si="16"/>
        <v>0.75</v>
      </c>
      <c r="T39" s="22">
        <f t="shared" si="7"/>
        <v>2.5862068965517241E-2</v>
      </c>
      <c r="U39" s="27">
        <f t="shared" si="8"/>
        <v>0</v>
      </c>
      <c r="V39" s="2"/>
    </row>
    <row r="40" spans="1:22" ht="114.75" x14ac:dyDescent="0.2">
      <c r="A40" s="17">
        <v>6</v>
      </c>
      <c r="B40" s="29" t="s">
        <v>300</v>
      </c>
      <c r="C40" s="30" t="s">
        <v>320</v>
      </c>
      <c r="D40" s="9" t="s">
        <v>200</v>
      </c>
      <c r="E40" s="7" t="s">
        <v>206</v>
      </c>
      <c r="F40" s="6" t="s">
        <v>207</v>
      </c>
      <c r="G40" s="6" t="s">
        <v>208</v>
      </c>
      <c r="H40" s="6" t="s">
        <v>209</v>
      </c>
      <c r="I40" s="6" t="s">
        <v>38</v>
      </c>
      <c r="J40" s="6" t="s">
        <v>70</v>
      </c>
      <c r="K40" s="22">
        <f t="shared" si="9"/>
        <v>0.5</v>
      </c>
      <c r="L40" s="22">
        <f t="shared" si="0"/>
        <v>0.33333333333333331</v>
      </c>
      <c r="M40" s="22">
        <f t="shared" si="1"/>
        <v>0.125</v>
      </c>
      <c r="N40" s="22">
        <f t="shared" si="2"/>
        <v>2.0833333333333332E-2</v>
      </c>
      <c r="O40" s="22">
        <v>2</v>
      </c>
      <c r="P40" s="23">
        <f t="shared" si="3"/>
        <v>4.1666666666666664E-2</v>
      </c>
      <c r="Q40" s="22">
        <f t="shared" si="4"/>
        <v>1.9607843137254902E-2</v>
      </c>
      <c r="R40" s="25">
        <f t="shared" si="5"/>
        <v>3.9215686274509803E-2</v>
      </c>
      <c r="S40" s="22">
        <f t="shared" si="16"/>
        <v>0.75</v>
      </c>
      <c r="T40" s="22">
        <f t="shared" si="7"/>
        <v>2.5862068965517241E-2</v>
      </c>
      <c r="U40" s="27">
        <f t="shared" si="8"/>
        <v>5.1724137931034482E-2</v>
      </c>
      <c r="V40" s="2"/>
    </row>
    <row r="41" spans="1:22" ht="51" x14ac:dyDescent="0.2">
      <c r="A41" s="17">
        <v>7</v>
      </c>
      <c r="B41" s="29" t="s">
        <v>301</v>
      </c>
      <c r="C41" s="30" t="s">
        <v>321</v>
      </c>
      <c r="D41" s="9" t="s">
        <v>210</v>
      </c>
      <c r="E41" s="8" t="s">
        <v>211</v>
      </c>
      <c r="F41" s="9" t="s">
        <v>212</v>
      </c>
      <c r="G41" s="9" t="s">
        <v>213</v>
      </c>
      <c r="H41" s="9" t="s">
        <v>214</v>
      </c>
      <c r="I41" s="9" t="s">
        <v>215</v>
      </c>
      <c r="J41" s="9" t="s">
        <v>10</v>
      </c>
      <c r="K41" s="22">
        <f t="shared" si="9"/>
        <v>0.5</v>
      </c>
      <c r="L41" s="22">
        <f t="shared" si="0"/>
        <v>0.33333333333333331</v>
      </c>
      <c r="M41" s="22">
        <f t="shared" si="1"/>
        <v>0.125</v>
      </c>
      <c r="N41" s="22">
        <f t="shared" si="2"/>
        <v>2.0833333333333332E-2</v>
      </c>
      <c r="O41" s="22">
        <v>4</v>
      </c>
      <c r="P41" s="23">
        <f t="shared" si="3"/>
        <v>8.3333333333333329E-2</v>
      </c>
      <c r="Q41" s="22">
        <f t="shared" si="4"/>
        <v>1.9607843137254902E-2</v>
      </c>
      <c r="R41" s="25">
        <f t="shared" si="5"/>
        <v>7.8431372549019607E-2</v>
      </c>
      <c r="S41" s="22">
        <f>2/8</f>
        <v>0.25</v>
      </c>
      <c r="T41" s="22">
        <f t="shared" si="7"/>
        <v>8.6206896551724137E-3</v>
      </c>
      <c r="U41" s="27">
        <f t="shared" si="8"/>
        <v>3.4482758620689655E-2</v>
      </c>
      <c r="V41" s="2"/>
    </row>
    <row r="42" spans="1:22" ht="127.5" x14ac:dyDescent="0.2">
      <c r="A42" s="17">
        <v>7</v>
      </c>
      <c r="B42" s="29" t="s">
        <v>301</v>
      </c>
      <c r="C42" s="30" t="s">
        <v>321</v>
      </c>
      <c r="D42" s="9" t="s">
        <v>210</v>
      </c>
      <c r="E42" s="7" t="s">
        <v>216</v>
      </c>
      <c r="F42" s="6" t="s">
        <v>217</v>
      </c>
      <c r="G42" s="6" t="s">
        <v>218</v>
      </c>
      <c r="H42" s="6" t="s">
        <v>219</v>
      </c>
      <c r="I42" s="6" t="s">
        <v>215</v>
      </c>
      <c r="J42" s="6" t="s">
        <v>10</v>
      </c>
      <c r="K42" s="22">
        <f t="shared" si="9"/>
        <v>0.5</v>
      </c>
      <c r="L42" s="22">
        <f t="shared" si="0"/>
        <v>0.33333333333333331</v>
      </c>
      <c r="M42" s="22">
        <f t="shared" si="1"/>
        <v>0.125</v>
      </c>
      <c r="N42" s="22">
        <f t="shared" si="2"/>
        <v>2.0833333333333332E-2</v>
      </c>
      <c r="O42" s="22">
        <v>6</v>
      </c>
      <c r="P42" s="23">
        <f t="shared" si="3"/>
        <v>0.125</v>
      </c>
      <c r="Q42" s="22">
        <f t="shared" si="4"/>
        <v>1.9607843137254902E-2</v>
      </c>
      <c r="R42" s="25">
        <f t="shared" si="5"/>
        <v>0.11764705882352941</v>
      </c>
      <c r="S42" s="22">
        <f t="shared" ref="S42:S45" si="18">2/8</f>
        <v>0.25</v>
      </c>
      <c r="T42" s="22">
        <f t="shared" si="7"/>
        <v>8.6206896551724137E-3</v>
      </c>
      <c r="U42" s="27">
        <f t="shared" si="8"/>
        <v>5.1724137931034482E-2</v>
      </c>
      <c r="V42" s="2"/>
    </row>
    <row r="43" spans="1:22" ht="216.75" x14ac:dyDescent="0.2">
      <c r="A43" s="17">
        <v>7</v>
      </c>
      <c r="B43" s="29" t="s">
        <v>301</v>
      </c>
      <c r="C43" s="30" t="s">
        <v>322</v>
      </c>
      <c r="D43" s="9" t="s">
        <v>220</v>
      </c>
      <c r="E43" s="8" t="s">
        <v>221</v>
      </c>
      <c r="F43" s="9" t="s">
        <v>222</v>
      </c>
      <c r="G43" s="9" t="s">
        <v>223</v>
      </c>
      <c r="H43" s="9" t="s">
        <v>224</v>
      </c>
      <c r="I43" s="9" t="s">
        <v>225</v>
      </c>
      <c r="J43" s="9" t="s">
        <v>10</v>
      </c>
      <c r="K43" s="22">
        <v>1</v>
      </c>
      <c r="L43" s="22">
        <f t="shared" si="0"/>
        <v>0.33333333333333331</v>
      </c>
      <c r="M43" s="22">
        <f t="shared" si="1"/>
        <v>0.125</v>
      </c>
      <c r="N43" s="22">
        <f t="shared" si="2"/>
        <v>4.1666666666666664E-2</v>
      </c>
      <c r="O43" s="22">
        <v>8</v>
      </c>
      <c r="P43" s="23">
        <f t="shared" si="3"/>
        <v>0.33333333333333331</v>
      </c>
      <c r="Q43" s="22">
        <f t="shared" si="4"/>
        <v>1.9607843137254902E-2</v>
      </c>
      <c r="R43" s="25">
        <f t="shared" si="5"/>
        <v>0.15686274509803921</v>
      </c>
      <c r="S43" s="22">
        <f t="shared" si="18"/>
        <v>0.25</v>
      </c>
      <c r="T43" s="22">
        <f t="shared" si="7"/>
        <v>8.6206896551724137E-3</v>
      </c>
      <c r="U43" s="27">
        <f t="shared" si="8"/>
        <v>6.8965517241379309E-2</v>
      </c>
      <c r="V43" s="2"/>
    </row>
    <row r="44" spans="1:22" ht="76.5" x14ac:dyDescent="0.2">
      <c r="A44" s="17">
        <v>7</v>
      </c>
      <c r="B44" s="29" t="s">
        <v>301</v>
      </c>
      <c r="C44" s="30" t="s">
        <v>323</v>
      </c>
      <c r="D44" s="6" t="s">
        <v>226</v>
      </c>
      <c r="E44" s="7" t="s">
        <v>227</v>
      </c>
      <c r="F44" s="6" t="s">
        <v>228</v>
      </c>
      <c r="G44" s="6" t="s">
        <v>229</v>
      </c>
      <c r="H44" s="6" t="s">
        <v>230</v>
      </c>
      <c r="I44" s="6" t="s">
        <v>231</v>
      </c>
      <c r="J44" s="6" t="s">
        <v>232</v>
      </c>
      <c r="K44" s="22">
        <f t="shared" si="9"/>
        <v>0.5</v>
      </c>
      <c r="L44" s="22">
        <f t="shared" si="0"/>
        <v>0.33333333333333331</v>
      </c>
      <c r="M44" s="22">
        <f t="shared" si="1"/>
        <v>0.125</v>
      </c>
      <c r="N44" s="22">
        <f t="shared" si="2"/>
        <v>2.0833333333333332E-2</v>
      </c>
      <c r="O44" s="22">
        <v>10</v>
      </c>
      <c r="P44" s="23">
        <f t="shared" si="3"/>
        <v>0.20833333333333331</v>
      </c>
      <c r="Q44" s="22">
        <f t="shared" si="4"/>
        <v>1.9607843137254902E-2</v>
      </c>
      <c r="R44" s="25">
        <f t="shared" si="5"/>
        <v>0.19607843137254902</v>
      </c>
      <c r="S44" s="22">
        <f t="shared" si="18"/>
        <v>0.25</v>
      </c>
      <c r="T44" s="22">
        <f t="shared" si="7"/>
        <v>8.6206896551724137E-3</v>
      </c>
      <c r="U44" s="27">
        <f t="shared" si="8"/>
        <v>8.6206896551724144E-2</v>
      </c>
      <c r="V44" s="2"/>
    </row>
    <row r="45" spans="1:22" ht="76.5" x14ac:dyDescent="0.2">
      <c r="A45" s="17">
        <v>7</v>
      </c>
      <c r="B45" s="29" t="s">
        <v>301</v>
      </c>
      <c r="C45" s="30" t="s">
        <v>323</v>
      </c>
      <c r="D45" s="6" t="s">
        <v>226</v>
      </c>
      <c r="E45" s="8" t="s">
        <v>233</v>
      </c>
      <c r="F45" s="9" t="s">
        <v>234</v>
      </c>
      <c r="G45" s="9" t="s">
        <v>235</v>
      </c>
      <c r="H45" s="9" t="s">
        <v>236</v>
      </c>
      <c r="I45" s="9" t="s">
        <v>215</v>
      </c>
      <c r="J45" s="9" t="s">
        <v>70</v>
      </c>
      <c r="K45" s="22">
        <f t="shared" si="9"/>
        <v>0.5</v>
      </c>
      <c r="L45" s="22">
        <f t="shared" si="0"/>
        <v>0.33333333333333331</v>
      </c>
      <c r="M45" s="22">
        <f t="shared" si="1"/>
        <v>0.125</v>
      </c>
      <c r="N45" s="22">
        <f t="shared" si="2"/>
        <v>2.0833333333333332E-2</v>
      </c>
      <c r="O45" s="22">
        <v>12</v>
      </c>
      <c r="P45" s="23">
        <f t="shared" si="3"/>
        <v>0.25</v>
      </c>
      <c r="Q45" s="22">
        <f t="shared" si="4"/>
        <v>1.9607843137254902E-2</v>
      </c>
      <c r="R45" s="25">
        <f t="shared" si="5"/>
        <v>0.23529411764705882</v>
      </c>
      <c r="S45" s="22">
        <f t="shared" si="18"/>
        <v>0.25</v>
      </c>
      <c r="T45" s="22">
        <f t="shared" si="7"/>
        <v>8.6206896551724137E-3</v>
      </c>
      <c r="U45" s="27">
        <f t="shared" si="8"/>
        <v>0.10344827586206896</v>
      </c>
      <c r="V45" s="2"/>
    </row>
    <row r="46" spans="1:22" ht="89.25" x14ac:dyDescent="0.2">
      <c r="A46" s="17">
        <v>8</v>
      </c>
      <c r="B46" s="29" t="s">
        <v>302</v>
      </c>
      <c r="C46" s="30" t="s">
        <v>324</v>
      </c>
      <c r="D46" s="6" t="s">
        <v>237</v>
      </c>
      <c r="E46" s="7" t="s">
        <v>238</v>
      </c>
      <c r="F46" s="11" t="s">
        <v>239</v>
      </c>
      <c r="G46" s="11" t="s">
        <v>240</v>
      </c>
      <c r="H46" s="6" t="s">
        <v>241</v>
      </c>
      <c r="I46" s="6" t="s">
        <v>242</v>
      </c>
      <c r="J46" s="6" t="s">
        <v>10</v>
      </c>
      <c r="K46" s="22">
        <f t="shared" si="9"/>
        <v>0.5</v>
      </c>
      <c r="L46" s="22">
        <f>1/4</f>
        <v>0.25</v>
      </c>
      <c r="M46" s="22">
        <f t="shared" si="1"/>
        <v>0.125</v>
      </c>
      <c r="N46" s="22">
        <f t="shared" si="2"/>
        <v>1.5625E-2</v>
      </c>
      <c r="O46" s="22">
        <v>14</v>
      </c>
      <c r="P46" s="23">
        <f t="shared" si="3"/>
        <v>0.21875</v>
      </c>
      <c r="Q46" s="22">
        <f t="shared" si="4"/>
        <v>1.9607843137254902E-2</v>
      </c>
      <c r="R46" s="25">
        <f t="shared" si="5"/>
        <v>0.27450980392156865</v>
      </c>
      <c r="S46" s="22">
        <f>3/8</f>
        <v>0.375</v>
      </c>
      <c r="T46" s="22">
        <f t="shared" si="7"/>
        <v>1.2931034482758621E-2</v>
      </c>
      <c r="U46" s="27">
        <f t="shared" si="8"/>
        <v>0.18103448275862069</v>
      </c>
      <c r="V46" s="2"/>
    </row>
    <row r="47" spans="1:22" ht="89.25" x14ac:dyDescent="0.2">
      <c r="A47" s="17">
        <v>8</v>
      </c>
      <c r="B47" s="29" t="s">
        <v>302</v>
      </c>
      <c r="C47" s="30" t="s">
        <v>324</v>
      </c>
      <c r="D47" s="6" t="s">
        <v>237</v>
      </c>
      <c r="E47" s="8" t="s">
        <v>243</v>
      </c>
      <c r="F47" s="9" t="s">
        <v>244</v>
      </c>
      <c r="G47" s="9" t="s">
        <v>245</v>
      </c>
      <c r="H47" s="9" t="s">
        <v>246</v>
      </c>
      <c r="I47" s="9" t="s">
        <v>242</v>
      </c>
      <c r="J47" s="9" t="s">
        <v>10</v>
      </c>
      <c r="K47" s="22">
        <f t="shared" si="9"/>
        <v>0.5</v>
      </c>
      <c r="L47" s="22">
        <f t="shared" ref="L47:L52" si="19">1/4</f>
        <v>0.25</v>
      </c>
      <c r="M47" s="22">
        <f t="shared" si="1"/>
        <v>0.125</v>
      </c>
      <c r="N47" s="22">
        <f t="shared" si="2"/>
        <v>1.5625E-2</v>
      </c>
      <c r="O47" s="22">
        <v>16</v>
      </c>
      <c r="P47" s="23">
        <f t="shared" si="3"/>
        <v>0.25</v>
      </c>
      <c r="Q47" s="22">
        <f t="shared" si="4"/>
        <v>1.9607843137254902E-2</v>
      </c>
      <c r="R47" s="25">
        <f t="shared" si="5"/>
        <v>0.31372549019607843</v>
      </c>
      <c r="S47" s="22">
        <f t="shared" ref="S47:S52" si="20">3/8</f>
        <v>0.375</v>
      </c>
      <c r="T47" s="22">
        <f t="shared" si="7"/>
        <v>1.2931034482758621E-2</v>
      </c>
      <c r="U47" s="27">
        <f t="shared" si="8"/>
        <v>0.20689655172413793</v>
      </c>
      <c r="V47" s="2"/>
    </row>
    <row r="48" spans="1:22" ht="89.25" x14ac:dyDescent="0.2">
      <c r="A48" s="17">
        <v>8</v>
      </c>
      <c r="B48" s="29" t="s">
        <v>302</v>
      </c>
      <c r="C48" s="30" t="s">
        <v>325</v>
      </c>
      <c r="D48" s="6" t="s">
        <v>247</v>
      </c>
      <c r="E48" s="7" t="s">
        <v>248</v>
      </c>
      <c r="F48" s="11" t="s">
        <v>249</v>
      </c>
      <c r="G48" s="11" t="s">
        <v>250</v>
      </c>
      <c r="H48" s="6" t="s">
        <v>251</v>
      </c>
      <c r="I48" s="6" t="s">
        <v>54</v>
      </c>
      <c r="J48" s="6" t="s">
        <v>10</v>
      </c>
      <c r="K48" s="22">
        <f t="shared" si="9"/>
        <v>0.5</v>
      </c>
      <c r="L48" s="22">
        <f t="shared" si="19"/>
        <v>0.25</v>
      </c>
      <c r="M48" s="22">
        <f t="shared" si="1"/>
        <v>0.125</v>
      </c>
      <c r="N48" s="22">
        <f t="shared" si="2"/>
        <v>1.5625E-2</v>
      </c>
      <c r="O48" s="22">
        <v>18</v>
      </c>
      <c r="P48" s="23">
        <f t="shared" si="3"/>
        <v>0.28125</v>
      </c>
      <c r="Q48" s="22">
        <f t="shared" si="4"/>
        <v>1.9607843137254902E-2</v>
      </c>
      <c r="R48" s="25">
        <f t="shared" si="5"/>
        <v>0.3529411764705882</v>
      </c>
      <c r="S48" s="22">
        <f t="shared" si="20"/>
        <v>0.375</v>
      </c>
      <c r="T48" s="22">
        <f t="shared" si="7"/>
        <v>1.2931034482758621E-2</v>
      </c>
      <c r="U48" s="27">
        <f t="shared" si="8"/>
        <v>0.23275862068965517</v>
      </c>
      <c r="V48" s="2"/>
    </row>
    <row r="49" spans="1:22" ht="89.25" x14ac:dyDescent="0.2">
      <c r="A49" s="17">
        <v>8</v>
      </c>
      <c r="B49" s="29" t="s">
        <v>302</v>
      </c>
      <c r="C49" s="30" t="s">
        <v>325</v>
      </c>
      <c r="D49" s="6" t="s">
        <v>247</v>
      </c>
      <c r="E49" s="8" t="s">
        <v>252</v>
      </c>
      <c r="F49" s="9" t="s">
        <v>253</v>
      </c>
      <c r="G49" s="9" t="s">
        <v>254</v>
      </c>
      <c r="H49" s="9" t="s">
        <v>255</v>
      </c>
      <c r="I49" s="9" t="s">
        <v>256</v>
      </c>
      <c r="J49" s="9" t="s">
        <v>10</v>
      </c>
      <c r="K49" s="22">
        <f t="shared" si="9"/>
        <v>0.5</v>
      </c>
      <c r="L49" s="22">
        <f t="shared" si="19"/>
        <v>0.25</v>
      </c>
      <c r="M49" s="22">
        <f t="shared" si="1"/>
        <v>0.125</v>
      </c>
      <c r="N49" s="22">
        <f t="shared" si="2"/>
        <v>1.5625E-2</v>
      </c>
      <c r="O49" s="22">
        <v>20</v>
      </c>
      <c r="P49" s="23">
        <f t="shared" si="3"/>
        <v>0.3125</v>
      </c>
      <c r="Q49" s="22">
        <f t="shared" si="4"/>
        <v>1.9607843137254902E-2</v>
      </c>
      <c r="R49" s="25">
        <f t="shared" si="5"/>
        <v>0.39215686274509803</v>
      </c>
      <c r="S49" s="22">
        <f t="shared" si="20"/>
        <v>0.375</v>
      </c>
      <c r="T49" s="22">
        <f t="shared" si="7"/>
        <v>1.2931034482758621E-2</v>
      </c>
      <c r="U49" s="27">
        <f t="shared" si="8"/>
        <v>0.25862068965517243</v>
      </c>
      <c r="V49" s="2"/>
    </row>
    <row r="50" spans="1:22" ht="102" x14ac:dyDescent="0.2">
      <c r="A50" s="17">
        <v>8</v>
      </c>
      <c r="B50" s="29" t="s">
        <v>302</v>
      </c>
      <c r="C50" s="30" t="s">
        <v>326</v>
      </c>
      <c r="D50" s="6" t="s">
        <v>257</v>
      </c>
      <c r="E50" s="7" t="s">
        <v>258</v>
      </c>
      <c r="F50" s="6" t="s">
        <v>259</v>
      </c>
      <c r="G50" s="6" t="s">
        <v>260</v>
      </c>
      <c r="H50" s="6" t="s">
        <v>261</v>
      </c>
      <c r="I50" s="6" t="s">
        <v>256</v>
      </c>
      <c r="J50" s="6" t="s">
        <v>10</v>
      </c>
      <c r="K50" s="22">
        <v>1</v>
      </c>
      <c r="L50" s="22">
        <f t="shared" si="19"/>
        <v>0.25</v>
      </c>
      <c r="M50" s="22">
        <f t="shared" si="1"/>
        <v>0.125</v>
      </c>
      <c r="N50" s="22">
        <f t="shared" si="2"/>
        <v>3.125E-2</v>
      </c>
      <c r="O50" s="22">
        <v>0</v>
      </c>
      <c r="P50" s="23">
        <f t="shared" si="3"/>
        <v>0</v>
      </c>
      <c r="Q50" s="22">
        <f t="shared" si="4"/>
        <v>1.9607843137254902E-2</v>
      </c>
      <c r="R50" s="25">
        <f t="shared" si="5"/>
        <v>0</v>
      </c>
      <c r="S50" s="22">
        <f t="shared" si="20"/>
        <v>0.375</v>
      </c>
      <c r="T50" s="22">
        <f t="shared" si="7"/>
        <v>1.2931034482758621E-2</v>
      </c>
      <c r="U50" s="27">
        <f t="shared" si="8"/>
        <v>0</v>
      </c>
      <c r="V50" s="2"/>
    </row>
    <row r="51" spans="1:22" ht="89.25" x14ac:dyDescent="0.2">
      <c r="A51" s="17">
        <v>8</v>
      </c>
      <c r="B51" s="29" t="s">
        <v>302</v>
      </c>
      <c r="C51" s="30" t="s">
        <v>327</v>
      </c>
      <c r="D51" s="9" t="s">
        <v>262</v>
      </c>
      <c r="E51" s="8" t="s">
        <v>263</v>
      </c>
      <c r="F51" s="12" t="s">
        <v>264</v>
      </c>
      <c r="G51" s="12" t="s">
        <v>265</v>
      </c>
      <c r="H51" s="9" t="s">
        <v>266</v>
      </c>
      <c r="I51" s="9" t="s">
        <v>267</v>
      </c>
      <c r="J51" s="9" t="s">
        <v>10</v>
      </c>
      <c r="K51" s="22">
        <f t="shared" si="9"/>
        <v>0.5</v>
      </c>
      <c r="L51" s="22">
        <f t="shared" si="19"/>
        <v>0.25</v>
      </c>
      <c r="M51" s="22">
        <f t="shared" si="1"/>
        <v>0.125</v>
      </c>
      <c r="N51" s="22">
        <f t="shared" si="2"/>
        <v>1.5625E-2</v>
      </c>
      <c r="O51" s="22">
        <v>0</v>
      </c>
      <c r="P51" s="23">
        <f t="shared" si="3"/>
        <v>0</v>
      </c>
      <c r="Q51" s="22">
        <f t="shared" si="4"/>
        <v>1.9607843137254902E-2</v>
      </c>
      <c r="R51" s="25">
        <f t="shared" si="5"/>
        <v>0</v>
      </c>
      <c r="S51" s="22">
        <f t="shared" si="20"/>
        <v>0.375</v>
      </c>
      <c r="T51" s="22">
        <f t="shared" si="7"/>
        <v>1.2931034482758621E-2</v>
      </c>
      <c r="U51" s="27">
        <f t="shared" si="8"/>
        <v>0</v>
      </c>
      <c r="V51" s="2"/>
    </row>
    <row r="52" spans="1:22" ht="89.25" x14ac:dyDescent="0.2">
      <c r="A52" s="17">
        <v>8</v>
      </c>
      <c r="B52" s="29" t="s">
        <v>302</v>
      </c>
      <c r="C52" s="30" t="s">
        <v>327</v>
      </c>
      <c r="D52" s="9" t="s">
        <v>262</v>
      </c>
      <c r="E52" s="7" t="s">
        <v>268</v>
      </c>
      <c r="F52" s="11" t="s">
        <v>269</v>
      </c>
      <c r="G52" s="11" t="s">
        <v>270</v>
      </c>
      <c r="H52" s="6" t="s">
        <v>266</v>
      </c>
      <c r="I52" s="6" t="s">
        <v>271</v>
      </c>
      <c r="J52" s="6" t="s">
        <v>10</v>
      </c>
      <c r="K52" s="22">
        <f t="shared" si="9"/>
        <v>0.5</v>
      </c>
      <c r="L52" s="22">
        <f t="shared" si="19"/>
        <v>0.25</v>
      </c>
      <c r="M52" s="22">
        <f t="shared" si="1"/>
        <v>0.125</v>
      </c>
      <c r="N52" s="22">
        <f t="shared" si="2"/>
        <v>1.5625E-2</v>
      </c>
      <c r="O52" s="22">
        <v>0</v>
      </c>
      <c r="P52" s="23">
        <f t="shared" si="3"/>
        <v>0</v>
      </c>
      <c r="Q52" s="22">
        <f t="shared" si="4"/>
        <v>1.9607843137254902E-2</v>
      </c>
      <c r="R52" s="25">
        <f t="shared" si="5"/>
        <v>0</v>
      </c>
      <c r="S52" s="22">
        <f t="shared" si="20"/>
        <v>0.375</v>
      </c>
      <c r="T52" s="22">
        <f t="shared" si="7"/>
        <v>1.2931034482758621E-2</v>
      </c>
      <c r="U52" s="27">
        <f t="shared" si="8"/>
        <v>0</v>
      </c>
      <c r="V52" s="2"/>
    </row>
    <row r="53" spans="1:22" ht="15.75" customHeight="1" x14ac:dyDescent="0.2">
      <c r="C53" s="4"/>
      <c r="D53" s="3"/>
      <c r="E53" s="2"/>
      <c r="F53" s="3"/>
      <c r="G53" s="3"/>
      <c r="H53" s="3"/>
      <c r="I53" s="3"/>
      <c r="J53" s="3"/>
      <c r="K53" s="2"/>
      <c r="L53" s="2"/>
      <c r="M53" s="2"/>
      <c r="N53" s="2"/>
      <c r="O53" s="2" t="s">
        <v>282</v>
      </c>
      <c r="P53" s="24">
        <f>SUM(P2:P52)</f>
        <v>7.9722222222222214</v>
      </c>
      <c r="Q53" s="2"/>
      <c r="R53" s="26">
        <f>SUM(R2:R52)</f>
        <v>7.901960784313725</v>
      </c>
      <c r="S53" s="2">
        <f>SUM(S2:S52)</f>
        <v>29</v>
      </c>
      <c r="T53" s="2"/>
      <c r="U53" s="28">
        <f>SUM(U2:U52)</f>
        <v>6.8146551724137954</v>
      </c>
      <c r="V53" s="2"/>
    </row>
    <row r="54" spans="1:22" ht="15.75" customHeight="1" x14ac:dyDescent="0.2">
      <c r="C54" s="4"/>
      <c r="D54" s="3"/>
      <c r="E54" s="2"/>
      <c r="F54" s="3"/>
      <c r="G54" s="3"/>
      <c r="H54" s="3"/>
      <c r="I54" s="3"/>
      <c r="J54" s="3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spans="1:22" ht="15.75" customHeight="1" x14ac:dyDescent="0.2">
      <c r="C55" s="4"/>
      <c r="D55" s="3"/>
      <c r="E55" s="2"/>
      <c r="F55" s="3"/>
      <c r="G55" s="3"/>
      <c r="H55" s="3"/>
      <c r="I55" s="3"/>
      <c r="J55" s="3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spans="1:22" ht="15.75" customHeight="1" x14ac:dyDescent="0.2">
      <c r="C56" s="4"/>
      <c r="D56" s="3"/>
      <c r="E56" s="2"/>
      <c r="F56" s="3"/>
      <c r="G56" s="3"/>
      <c r="H56" s="3"/>
      <c r="I56" s="3"/>
      <c r="J56" s="3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spans="1:22" ht="15.75" customHeight="1" x14ac:dyDescent="0.2">
      <c r="C57" s="4"/>
      <c r="D57" s="3"/>
      <c r="E57" s="2"/>
      <c r="F57" s="3"/>
      <c r="G57" s="3"/>
      <c r="H57" s="3"/>
      <c r="I57" s="3"/>
      <c r="J57" s="3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spans="1:22" ht="15.75" customHeight="1" x14ac:dyDescent="0.2">
      <c r="C58" s="4"/>
      <c r="D58" s="3"/>
      <c r="E58" s="2"/>
      <c r="F58" s="3"/>
      <c r="G58" s="3"/>
      <c r="H58" s="3"/>
      <c r="I58" s="3"/>
      <c r="J58" s="3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spans="1:22" ht="15.75" customHeight="1" x14ac:dyDescent="0.2">
      <c r="C59" s="4"/>
      <c r="D59" s="3"/>
      <c r="E59" s="2"/>
      <c r="F59" s="3"/>
      <c r="G59" s="3"/>
      <c r="H59" s="3"/>
      <c r="I59" s="3"/>
      <c r="J59" s="3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spans="1:22" ht="15.75" customHeight="1" x14ac:dyDescent="0.2">
      <c r="C60" s="4"/>
      <c r="D60" s="3"/>
      <c r="E60" s="2"/>
      <c r="F60" s="3"/>
      <c r="G60" s="3"/>
      <c r="H60" s="3"/>
      <c r="I60" s="3"/>
      <c r="J60" s="3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spans="1:22" ht="15.75" customHeight="1" x14ac:dyDescent="0.2">
      <c r="C61" s="4"/>
      <c r="D61" s="3"/>
      <c r="E61" s="2"/>
      <c r="F61" s="3"/>
      <c r="G61" s="3"/>
      <c r="H61" s="3"/>
      <c r="I61" s="3"/>
      <c r="J61" s="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spans="1:22" ht="15.75" customHeight="1" x14ac:dyDescent="0.2">
      <c r="C62" s="4"/>
      <c r="D62" s="3"/>
      <c r="E62" s="2"/>
      <c r="F62" s="3"/>
      <c r="G62" s="3"/>
      <c r="H62" s="3"/>
      <c r="I62" s="3"/>
      <c r="J62" s="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spans="1:22" ht="15.75" customHeight="1" x14ac:dyDescent="0.2">
      <c r="C63" s="4"/>
      <c r="D63" s="3"/>
      <c r="E63" s="2"/>
      <c r="F63" s="3"/>
      <c r="G63" s="3"/>
      <c r="H63" s="3"/>
      <c r="I63" s="3"/>
      <c r="J63" s="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spans="1:22" ht="15.75" customHeight="1" x14ac:dyDescent="0.2">
      <c r="C64" s="4"/>
      <c r="D64" s="3"/>
      <c r="E64" s="2"/>
      <c r="F64" s="3"/>
      <c r="G64" s="3"/>
      <c r="H64" s="3"/>
      <c r="I64" s="3"/>
      <c r="J64" s="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spans="3:22" ht="15.75" customHeight="1" x14ac:dyDescent="0.2">
      <c r="C65" s="4"/>
      <c r="D65" s="3"/>
      <c r="E65" s="2"/>
      <c r="F65" s="3"/>
      <c r="G65" s="3"/>
      <c r="H65" s="3"/>
      <c r="I65" s="3"/>
      <c r="J65" s="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 spans="3:22" ht="15.75" customHeight="1" x14ac:dyDescent="0.2">
      <c r="C66" s="4"/>
      <c r="D66" s="3"/>
      <c r="E66" s="2"/>
      <c r="F66" s="3"/>
      <c r="G66" s="3"/>
      <c r="H66" s="3"/>
      <c r="I66" s="3"/>
      <c r="J66" s="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spans="3:22" ht="15.75" customHeight="1" x14ac:dyDescent="0.2">
      <c r="C67" s="4"/>
      <c r="D67" s="3"/>
      <c r="E67" s="2"/>
      <c r="F67" s="3"/>
      <c r="G67" s="3"/>
      <c r="H67" s="3"/>
      <c r="I67" s="3"/>
      <c r="J67" s="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spans="3:22" ht="15.75" customHeight="1" x14ac:dyDescent="0.2">
      <c r="C68" s="4"/>
      <c r="D68" s="3"/>
      <c r="E68" s="2"/>
      <c r="F68" s="3"/>
      <c r="G68" s="3"/>
      <c r="H68" s="3"/>
      <c r="I68" s="3"/>
      <c r="J68" s="3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spans="3:22" ht="15.75" customHeight="1" x14ac:dyDescent="0.2">
      <c r="C69" s="4"/>
      <c r="D69" s="3"/>
      <c r="E69" s="2"/>
      <c r="F69" s="3"/>
      <c r="G69" s="3"/>
      <c r="H69" s="3"/>
      <c r="I69" s="3"/>
      <c r="J69" s="3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spans="3:22" ht="15.75" customHeight="1" x14ac:dyDescent="0.2">
      <c r="C70" s="4"/>
      <c r="D70" s="3"/>
      <c r="E70" s="2"/>
      <c r="F70" s="3"/>
      <c r="G70" s="3"/>
      <c r="H70" s="3"/>
      <c r="I70" s="3"/>
      <c r="J70" s="3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spans="3:22" ht="15.75" customHeight="1" x14ac:dyDescent="0.2">
      <c r="C71" s="4"/>
      <c r="D71" s="3"/>
      <c r="E71" s="2"/>
      <c r="F71" s="3"/>
      <c r="G71" s="3"/>
      <c r="H71" s="3"/>
      <c r="I71" s="3"/>
      <c r="J71" s="3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spans="3:22" ht="15.75" customHeight="1" x14ac:dyDescent="0.2">
      <c r="C72" s="4"/>
      <c r="D72" s="3"/>
      <c r="E72" s="2"/>
      <c r="F72" s="3"/>
      <c r="G72" s="3"/>
      <c r="H72" s="3"/>
      <c r="I72" s="3"/>
      <c r="J72" s="3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spans="3:22" ht="15.75" customHeight="1" x14ac:dyDescent="0.2">
      <c r="C73" s="4"/>
      <c r="D73" s="3"/>
      <c r="E73" s="2"/>
      <c r="F73" s="3"/>
      <c r="G73" s="3"/>
      <c r="H73" s="3"/>
      <c r="I73" s="3"/>
      <c r="J73" s="3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 spans="3:22" ht="15.75" customHeight="1" x14ac:dyDescent="0.2">
      <c r="C74" s="4"/>
      <c r="D74" s="3"/>
      <c r="E74" s="2"/>
      <c r="F74" s="3"/>
      <c r="G74" s="3"/>
      <c r="H74" s="3"/>
      <c r="I74" s="3"/>
      <c r="J74" s="3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 spans="3:22" ht="15.75" customHeight="1" x14ac:dyDescent="0.2">
      <c r="C75" s="4"/>
      <c r="D75" s="3"/>
      <c r="E75" s="2"/>
      <c r="F75" s="3"/>
      <c r="G75" s="3"/>
      <c r="H75" s="3"/>
      <c r="I75" s="3"/>
      <c r="J75" s="3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 spans="3:22" ht="15.75" customHeight="1" x14ac:dyDescent="0.2">
      <c r="C76" s="4"/>
      <c r="D76" s="3"/>
      <c r="E76" s="2"/>
      <c r="F76" s="3"/>
      <c r="G76" s="3"/>
      <c r="H76" s="3"/>
      <c r="I76" s="3"/>
      <c r="J76" s="3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 spans="3:22" ht="15.75" customHeight="1" x14ac:dyDescent="0.2">
      <c r="C77" s="4"/>
      <c r="D77" s="3"/>
      <c r="E77" s="2"/>
      <c r="F77" s="3"/>
      <c r="G77" s="3"/>
      <c r="H77" s="3"/>
      <c r="I77" s="3"/>
      <c r="J77" s="3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spans="3:22" ht="15.75" customHeight="1" x14ac:dyDescent="0.2">
      <c r="C78" s="4"/>
      <c r="D78" s="3"/>
      <c r="E78" s="2"/>
      <c r="F78" s="3"/>
      <c r="G78" s="3"/>
      <c r="H78" s="3"/>
      <c r="I78" s="3"/>
      <c r="J78" s="3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 spans="3:22" ht="15.75" customHeight="1" x14ac:dyDescent="0.2">
      <c r="C79" s="4"/>
      <c r="D79" s="3"/>
      <c r="E79" s="2"/>
      <c r="F79" s="3"/>
      <c r="G79" s="3"/>
      <c r="H79" s="3"/>
      <c r="I79" s="3"/>
      <c r="J79" s="3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 spans="3:22" ht="15.75" customHeight="1" x14ac:dyDescent="0.2">
      <c r="C80" s="4"/>
      <c r="D80" s="3"/>
      <c r="E80" s="2"/>
      <c r="F80" s="3"/>
      <c r="G80" s="3"/>
      <c r="H80" s="3"/>
      <c r="I80" s="3"/>
      <c r="J80" s="3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spans="3:22" ht="15.75" customHeight="1" x14ac:dyDescent="0.2">
      <c r="C81" s="4"/>
      <c r="D81" s="3"/>
      <c r="E81" s="2"/>
      <c r="F81" s="3"/>
      <c r="G81" s="3"/>
      <c r="H81" s="3"/>
      <c r="I81" s="3"/>
      <c r="J81" s="3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spans="3:22" ht="15.75" customHeight="1" x14ac:dyDescent="0.2">
      <c r="C82" s="4"/>
      <c r="D82" s="3"/>
      <c r="E82" s="2"/>
      <c r="F82" s="3"/>
      <c r="G82" s="3"/>
      <c r="H82" s="3"/>
      <c r="I82" s="3"/>
      <c r="J82" s="3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spans="3:22" ht="15.75" customHeight="1" x14ac:dyDescent="0.2">
      <c r="C83" s="4"/>
      <c r="D83" s="3"/>
      <c r="E83" s="2"/>
      <c r="F83" s="3"/>
      <c r="G83" s="3"/>
      <c r="H83" s="3"/>
      <c r="I83" s="3"/>
      <c r="J83" s="3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 spans="3:22" ht="15.75" customHeight="1" x14ac:dyDescent="0.2">
      <c r="C84" s="4"/>
      <c r="D84" s="3"/>
      <c r="E84" s="2"/>
      <c r="F84" s="3"/>
      <c r="G84" s="3"/>
      <c r="H84" s="3"/>
      <c r="I84" s="3"/>
      <c r="J84" s="3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 spans="3:22" ht="15.75" customHeight="1" x14ac:dyDescent="0.2">
      <c r="C85" s="4"/>
      <c r="D85" s="3"/>
      <c r="E85" s="2"/>
      <c r="F85" s="3"/>
      <c r="G85" s="3"/>
      <c r="H85" s="3"/>
      <c r="I85" s="3"/>
      <c r="J85" s="3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 spans="3:22" ht="15.75" customHeight="1" x14ac:dyDescent="0.2">
      <c r="C86" s="4"/>
      <c r="D86" s="3"/>
      <c r="E86" s="2"/>
      <c r="F86" s="3"/>
      <c r="G86" s="3"/>
      <c r="H86" s="3"/>
      <c r="I86" s="3"/>
      <c r="J86" s="3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 spans="3:22" ht="15.75" customHeight="1" x14ac:dyDescent="0.2">
      <c r="C87" s="4"/>
      <c r="D87" s="3"/>
      <c r="E87" s="2"/>
      <c r="F87" s="3"/>
      <c r="G87" s="3"/>
      <c r="H87" s="3"/>
      <c r="I87" s="3"/>
      <c r="J87" s="3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 spans="3:22" ht="15.75" customHeight="1" x14ac:dyDescent="0.2">
      <c r="C88" s="4"/>
      <c r="D88" s="3"/>
      <c r="E88" s="2"/>
      <c r="F88" s="3"/>
      <c r="G88" s="3"/>
      <c r="H88" s="3"/>
      <c r="I88" s="3"/>
      <c r="J88" s="3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 spans="3:22" ht="15.75" customHeight="1" x14ac:dyDescent="0.2">
      <c r="C89" s="4"/>
      <c r="D89" s="3"/>
      <c r="E89" s="2"/>
      <c r="F89" s="3"/>
      <c r="G89" s="3"/>
      <c r="H89" s="3"/>
      <c r="I89" s="3"/>
      <c r="J89" s="3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 spans="3:22" ht="15.75" customHeight="1" x14ac:dyDescent="0.2">
      <c r="C90" s="4"/>
      <c r="D90" s="3"/>
      <c r="E90" s="2"/>
      <c r="F90" s="3"/>
      <c r="G90" s="3"/>
      <c r="H90" s="3"/>
      <c r="I90" s="3"/>
      <c r="J90" s="3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 spans="3:22" ht="15.75" customHeight="1" x14ac:dyDescent="0.2">
      <c r="C91" s="4"/>
      <c r="D91" s="3"/>
      <c r="E91" s="2"/>
      <c r="F91" s="3"/>
      <c r="G91" s="3"/>
      <c r="H91" s="3"/>
      <c r="I91" s="3"/>
      <c r="J91" s="3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 spans="3:22" ht="15.75" customHeight="1" x14ac:dyDescent="0.2">
      <c r="C92" s="4"/>
      <c r="D92" s="3"/>
      <c r="E92" s="2"/>
      <c r="F92" s="3"/>
      <c r="G92" s="3"/>
      <c r="H92" s="3"/>
      <c r="I92" s="3"/>
      <c r="J92" s="3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 spans="3:22" ht="15.75" customHeight="1" x14ac:dyDescent="0.2">
      <c r="C93" s="4"/>
      <c r="D93" s="3"/>
      <c r="E93" s="2"/>
      <c r="F93" s="3"/>
      <c r="G93" s="3"/>
      <c r="H93" s="3"/>
      <c r="I93" s="3"/>
      <c r="J93" s="3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 spans="3:22" ht="15.75" customHeight="1" x14ac:dyDescent="0.2">
      <c r="C94" s="4"/>
      <c r="D94" s="3"/>
      <c r="E94" s="2"/>
      <c r="F94" s="3"/>
      <c r="G94" s="3"/>
      <c r="H94" s="3"/>
      <c r="I94" s="3"/>
      <c r="J94" s="3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 spans="3:22" ht="15.75" customHeight="1" x14ac:dyDescent="0.2">
      <c r="C95" s="4"/>
      <c r="D95" s="3"/>
      <c r="E95" s="2"/>
      <c r="F95" s="3"/>
      <c r="G95" s="3"/>
      <c r="H95" s="3"/>
      <c r="I95" s="3"/>
      <c r="J95" s="3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 spans="3:22" ht="15.75" customHeight="1" x14ac:dyDescent="0.2">
      <c r="C96" s="4"/>
      <c r="D96" s="3"/>
      <c r="E96" s="2"/>
      <c r="F96" s="3"/>
      <c r="G96" s="3"/>
      <c r="H96" s="3"/>
      <c r="I96" s="3"/>
      <c r="J96" s="3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 spans="3:22" ht="15.75" customHeight="1" x14ac:dyDescent="0.2">
      <c r="C97" s="4"/>
      <c r="D97" s="3"/>
      <c r="E97" s="2"/>
      <c r="F97" s="3"/>
      <c r="G97" s="3"/>
      <c r="H97" s="3"/>
      <c r="I97" s="3"/>
      <c r="J97" s="3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 spans="3:22" ht="15.75" customHeight="1" x14ac:dyDescent="0.2">
      <c r="C98" s="4"/>
      <c r="D98" s="3"/>
      <c r="E98" s="2"/>
      <c r="F98" s="3"/>
      <c r="G98" s="3"/>
      <c r="H98" s="3"/>
      <c r="I98" s="3"/>
      <c r="J98" s="3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 spans="3:22" ht="15.75" customHeight="1" x14ac:dyDescent="0.2">
      <c r="C99" s="4"/>
      <c r="D99" s="3"/>
      <c r="E99" s="2"/>
      <c r="F99" s="3"/>
      <c r="G99" s="3"/>
      <c r="H99" s="3"/>
      <c r="I99" s="3"/>
      <c r="J99" s="3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 spans="3:22" ht="15.75" customHeight="1" x14ac:dyDescent="0.2">
      <c r="C100" s="4"/>
      <c r="D100" s="3"/>
      <c r="E100" s="2"/>
      <c r="F100" s="3"/>
      <c r="G100" s="3"/>
      <c r="H100" s="3"/>
      <c r="I100" s="3"/>
      <c r="J100" s="3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 spans="3:22" ht="15.75" customHeight="1" x14ac:dyDescent="0.2">
      <c r="C101" s="4"/>
      <c r="D101" s="3"/>
      <c r="E101" s="2"/>
      <c r="F101" s="3"/>
      <c r="G101" s="3"/>
      <c r="H101" s="3"/>
      <c r="I101" s="3"/>
      <c r="J101" s="3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 spans="3:22" ht="15.75" customHeight="1" x14ac:dyDescent="0.2">
      <c r="C102" s="4"/>
      <c r="D102" s="3"/>
      <c r="E102" s="2"/>
      <c r="F102" s="3"/>
      <c r="G102" s="3"/>
      <c r="H102" s="3"/>
      <c r="I102" s="3"/>
      <c r="J102" s="3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 spans="3:22" ht="15.75" customHeight="1" x14ac:dyDescent="0.2">
      <c r="C103" s="4"/>
      <c r="D103" s="3"/>
      <c r="E103" s="2"/>
      <c r="F103" s="3"/>
      <c r="G103" s="3"/>
      <c r="H103" s="3"/>
      <c r="I103" s="3"/>
      <c r="J103" s="3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 spans="3:22" ht="15.75" customHeight="1" x14ac:dyDescent="0.2">
      <c r="C104" s="4"/>
      <c r="D104" s="3"/>
      <c r="E104" s="2"/>
      <c r="F104" s="3"/>
      <c r="G104" s="3"/>
      <c r="H104" s="3"/>
      <c r="I104" s="3"/>
      <c r="J104" s="3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 spans="3:22" ht="15.75" customHeight="1" x14ac:dyDescent="0.2">
      <c r="C105" s="4"/>
      <c r="D105" s="3"/>
      <c r="E105" s="2"/>
      <c r="F105" s="3"/>
      <c r="G105" s="3"/>
      <c r="H105" s="3"/>
      <c r="I105" s="3"/>
      <c r="J105" s="3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 spans="3:22" ht="15.75" customHeight="1" x14ac:dyDescent="0.2">
      <c r="C106" s="4"/>
      <c r="D106" s="3"/>
      <c r="E106" s="2"/>
      <c r="F106" s="3"/>
      <c r="G106" s="3"/>
      <c r="H106" s="3"/>
      <c r="I106" s="3"/>
      <c r="J106" s="3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 spans="3:22" ht="15.75" customHeight="1" x14ac:dyDescent="0.2">
      <c r="C107" s="4"/>
      <c r="D107" s="3"/>
      <c r="E107" s="2"/>
      <c r="F107" s="3"/>
      <c r="G107" s="3"/>
      <c r="H107" s="3"/>
      <c r="I107" s="3"/>
      <c r="J107" s="3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 spans="3:22" ht="15.75" customHeight="1" x14ac:dyDescent="0.2">
      <c r="C108" s="4"/>
      <c r="D108" s="3"/>
      <c r="E108" s="2"/>
      <c r="F108" s="3"/>
      <c r="G108" s="3"/>
      <c r="H108" s="3"/>
      <c r="I108" s="3"/>
      <c r="J108" s="3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 spans="3:22" ht="15.75" customHeight="1" x14ac:dyDescent="0.2">
      <c r="C109" s="4"/>
      <c r="D109" s="3"/>
      <c r="E109" s="2"/>
      <c r="F109" s="3"/>
      <c r="G109" s="3"/>
      <c r="H109" s="3"/>
      <c r="I109" s="3"/>
      <c r="J109" s="3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 spans="3:22" ht="15.75" customHeight="1" x14ac:dyDescent="0.2">
      <c r="C110" s="4"/>
      <c r="D110" s="3"/>
      <c r="E110" s="2"/>
      <c r="F110" s="3"/>
      <c r="G110" s="3"/>
      <c r="H110" s="3"/>
      <c r="I110" s="3"/>
      <c r="J110" s="3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 spans="3:22" ht="15.75" customHeight="1" x14ac:dyDescent="0.2">
      <c r="C111" s="4"/>
      <c r="D111" s="3"/>
      <c r="E111" s="2"/>
      <c r="F111" s="3"/>
      <c r="G111" s="3"/>
      <c r="H111" s="3"/>
      <c r="I111" s="3"/>
      <c r="J111" s="3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 spans="3:22" ht="15.75" customHeight="1" x14ac:dyDescent="0.2">
      <c r="C112" s="4"/>
      <c r="D112" s="3"/>
      <c r="E112" s="2"/>
      <c r="F112" s="3"/>
      <c r="G112" s="3"/>
      <c r="H112" s="3"/>
      <c r="I112" s="3"/>
      <c r="J112" s="3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 spans="3:22" ht="15.75" customHeight="1" x14ac:dyDescent="0.2">
      <c r="C113" s="4"/>
      <c r="D113" s="3"/>
      <c r="E113" s="2"/>
      <c r="F113" s="3"/>
      <c r="G113" s="3"/>
      <c r="H113" s="3"/>
      <c r="I113" s="3"/>
      <c r="J113" s="3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 spans="3:22" ht="15.75" customHeight="1" x14ac:dyDescent="0.2">
      <c r="C114" s="4"/>
      <c r="D114" s="3"/>
      <c r="E114" s="2"/>
      <c r="F114" s="3"/>
      <c r="G114" s="3"/>
      <c r="H114" s="3"/>
      <c r="I114" s="3"/>
      <c r="J114" s="3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 spans="3:22" ht="15.75" customHeight="1" x14ac:dyDescent="0.2">
      <c r="C115" s="4"/>
      <c r="D115" s="3"/>
      <c r="E115" s="2"/>
      <c r="F115" s="3"/>
      <c r="G115" s="3"/>
      <c r="H115" s="3"/>
      <c r="I115" s="3"/>
      <c r="J115" s="3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 spans="3:22" ht="15.75" customHeight="1" x14ac:dyDescent="0.2">
      <c r="C116" s="4"/>
      <c r="D116" s="3"/>
      <c r="E116" s="2"/>
      <c r="F116" s="3"/>
      <c r="G116" s="3"/>
      <c r="H116" s="3"/>
      <c r="I116" s="3"/>
      <c r="J116" s="3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 spans="3:22" ht="15.75" customHeight="1" x14ac:dyDescent="0.2">
      <c r="C117" s="4"/>
      <c r="D117" s="3"/>
      <c r="E117" s="2"/>
      <c r="F117" s="3"/>
      <c r="G117" s="3"/>
      <c r="H117" s="3"/>
      <c r="I117" s="3"/>
      <c r="J117" s="3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 spans="3:22" ht="15.75" customHeight="1" x14ac:dyDescent="0.2">
      <c r="C118" s="4"/>
      <c r="D118" s="3"/>
      <c r="E118" s="2"/>
      <c r="F118" s="3"/>
      <c r="G118" s="3"/>
      <c r="H118" s="3"/>
      <c r="I118" s="3"/>
      <c r="J118" s="3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 spans="3:22" ht="15.75" customHeight="1" x14ac:dyDescent="0.2">
      <c r="C119" s="4"/>
      <c r="D119" s="3"/>
      <c r="E119" s="2"/>
      <c r="F119" s="3"/>
      <c r="G119" s="3"/>
      <c r="H119" s="3"/>
      <c r="I119" s="3"/>
      <c r="J119" s="3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 spans="3:22" ht="15.75" customHeight="1" x14ac:dyDescent="0.2">
      <c r="C120" s="4"/>
      <c r="D120" s="3"/>
      <c r="E120" s="2"/>
      <c r="F120" s="3"/>
      <c r="G120" s="3"/>
      <c r="H120" s="3"/>
      <c r="I120" s="3"/>
      <c r="J120" s="3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 spans="3:22" ht="15.75" customHeight="1" x14ac:dyDescent="0.2">
      <c r="C121" s="4"/>
      <c r="D121" s="3"/>
      <c r="E121" s="2"/>
      <c r="F121" s="3"/>
      <c r="G121" s="3"/>
      <c r="H121" s="3"/>
      <c r="I121" s="3"/>
      <c r="J121" s="3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 spans="3:22" ht="15.75" customHeight="1" x14ac:dyDescent="0.2">
      <c r="C122" s="4"/>
      <c r="D122" s="3"/>
      <c r="E122" s="2"/>
      <c r="F122" s="3"/>
      <c r="G122" s="3"/>
      <c r="H122" s="3"/>
      <c r="I122" s="3"/>
      <c r="J122" s="3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 spans="3:22" ht="15.75" customHeight="1" x14ac:dyDescent="0.2">
      <c r="C123" s="4"/>
      <c r="D123" s="3"/>
      <c r="E123" s="2"/>
      <c r="F123" s="3"/>
      <c r="G123" s="3"/>
      <c r="H123" s="3"/>
      <c r="I123" s="3"/>
      <c r="J123" s="3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 spans="3:22" ht="15.75" customHeight="1" x14ac:dyDescent="0.2">
      <c r="C124" s="4"/>
      <c r="D124" s="3"/>
      <c r="E124" s="2"/>
      <c r="F124" s="3"/>
      <c r="G124" s="3"/>
      <c r="H124" s="3"/>
      <c r="I124" s="3"/>
      <c r="J124" s="3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 spans="3:22" ht="15.75" customHeight="1" x14ac:dyDescent="0.2">
      <c r="C125" s="4"/>
      <c r="D125" s="3"/>
      <c r="E125" s="2"/>
      <c r="F125" s="3"/>
      <c r="G125" s="3"/>
      <c r="H125" s="3"/>
      <c r="I125" s="3"/>
      <c r="J125" s="3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 spans="3:22" ht="15.75" customHeight="1" x14ac:dyDescent="0.2">
      <c r="C126" s="4"/>
      <c r="D126" s="3"/>
      <c r="E126" s="2"/>
      <c r="F126" s="3"/>
      <c r="G126" s="3"/>
      <c r="H126" s="3"/>
      <c r="I126" s="3"/>
      <c r="J126" s="3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 spans="3:22" ht="15.75" customHeight="1" x14ac:dyDescent="0.2">
      <c r="C127" s="4"/>
      <c r="D127" s="3"/>
      <c r="E127" s="2"/>
      <c r="F127" s="3"/>
      <c r="G127" s="3"/>
      <c r="H127" s="3"/>
      <c r="I127" s="3"/>
      <c r="J127" s="3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 spans="3:22" ht="15.75" customHeight="1" x14ac:dyDescent="0.2">
      <c r="C128" s="4"/>
      <c r="D128" s="3"/>
      <c r="E128" s="2"/>
      <c r="F128" s="3"/>
      <c r="G128" s="3"/>
      <c r="H128" s="3"/>
      <c r="I128" s="3"/>
      <c r="J128" s="3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 spans="3:22" ht="15.75" customHeight="1" x14ac:dyDescent="0.2">
      <c r="C129" s="4"/>
      <c r="D129" s="3"/>
      <c r="E129" s="2"/>
      <c r="F129" s="3"/>
      <c r="G129" s="3"/>
      <c r="H129" s="3"/>
      <c r="I129" s="3"/>
      <c r="J129" s="3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 spans="3:22" ht="15.75" customHeight="1" x14ac:dyDescent="0.2">
      <c r="C130" s="4"/>
      <c r="D130" s="3"/>
      <c r="E130" s="2"/>
      <c r="F130" s="3"/>
      <c r="G130" s="3"/>
      <c r="H130" s="3"/>
      <c r="I130" s="3"/>
      <c r="J130" s="3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 spans="3:22" ht="15.75" customHeight="1" x14ac:dyDescent="0.2">
      <c r="C131" s="4"/>
      <c r="D131" s="3"/>
      <c r="E131" s="2"/>
      <c r="F131" s="3"/>
      <c r="G131" s="3"/>
      <c r="H131" s="3"/>
      <c r="I131" s="3"/>
      <c r="J131" s="3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 spans="3:22" ht="15.75" customHeight="1" x14ac:dyDescent="0.2">
      <c r="C132" s="4"/>
      <c r="D132" s="3"/>
      <c r="E132" s="2"/>
      <c r="F132" s="3"/>
      <c r="G132" s="3"/>
      <c r="H132" s="3"/>
      <c r="I132" s="3"/>
      <c r="J132" s="3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 spans="3:22" ht="15.75" customHeight="1" x14ac:dyDescent="0.2">
      <c r="C133" s="4"/>
      <c r="D133" s="3"/>
      <c r="E133" s="2"/>
      <c r="F133" s="3"/>
      <c r="G133" s="3"/>
      <c r="H133" s="3"/>
      <c r="I133" s="3"/>
      <c r="J133" s="3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 spans="3:22" ht="15.75" customHeight="1" x14ac:dyDescent="0.2">
      <c r="C134" s="4"/>
      <c r="D134" s="3"/>
      <c r="E134" s="2"/>
      <c r="F134" s="3"/>
      <c r="G134" s="3"/>
      <c r="H134" s="3"/>
      <c r="I134" s="3"/>
      <c r="J134" s="3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 spans="3:22" ht="15.75" customHeight="1" x14ac:dyDescent="0.2">
      <c r="C135" s="4"/>
      <c r="D135" s="3"/>
      <c r="E135" s="2"/>
      <c r="F135" s="3"/>
      <c r="G135" s="3"/>
      <c r="H135" s="3"/>
      <c r="I135" s="3"/>
      <c r="J135" s="3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 spans="3:22" ht="15.75" customHeight="1" x14ac:dyDescent="0.2">
      <c r="C136" s="4"/>
      <c r="D136" s="3"/>
      <c r="E136" s="2"/>
      <c r="F136" s="3"/>
      <c r="G136" s="3"/>
      <c r="H136" s="3"/>
      <c r="I136" s="3"/>
      <c r="J136" s="3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 spans="3:22" ht="15.75" customHeight="1" x14ac:dyDescent="0.2">
      <c r="C137" s="4"/>
      <c r="D137" s="3"/>
      <c r="E137" s="2"/>
      <c r="F137" s="3"/>
      <c r="G137" s="3"/>
      <c r="H137" s="3"/>
      <c r="I137" s="3"/>
      <c r="J137" s="3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 spans="3:22" ht="15.75" customHeight="1" x14ac:dyDescent="0.2">
      <c r="C138" s="4"/>
      <c r="D138" s="3"/>
      <c r="E138" s="2"/>
      <c r="F138" s="3"/>
      <c r="G138" s="3"/>
      <c r="H138" s="3"/>
      <c r="I138" s="3"/>
      <c r="J138" s="3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 spans="3:22" ht="15.75" customHeight="1" x14ac:dyDescent="0.2">
      <c r="C139" s="4"/>
      <c r="D139" s="3"/>
      <c r="E139" s="2"/>
      <c r="F139" s="3"/>
      <c r="G139" s="3"/>
      <c r="H139" s="3"/>
      <c r="I139" s="3"/>
      <c r="J139" s="3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 spans="3:22" ht="15.75" customHeight="1" x14ac:dyDescent="0.2">
      <c r="C140" s="4"/>
      <c r="D140" s="3"/>
      <c r="E140" s="2"/>
      <c r="F140" s="3"/>
      <c r="G140" s="3"/>
      <c r="H140" s="3"/>
      <c r="I140" s="3"/>
      <c r="J140" s="3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 spans="3:22" ht="15.75" customHeight="1" x14ac:dyDescent="0.2">
      <c r="C141" s="4"/>
      <c r="D141" s="3"/>
      <c r="E141" s="2"/>
      <c r="F141" s="3"/>
      <c r="G141" s="3"/>
      <c r="H141" s="3"/>
      <c r="I141" s="3"/>
      <c r="J141" s="3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 spans="3:22" ht="15.75" customHeight="1" x14ac:dyDescent="0.2">
      <c r="C142" s="4"/>
      <c r="D142" s="3"/>
      <c r="E142" s="2"/>
      <c r="F142" s="3"/>
      <c r="G142" s="3"/>
      <c r="H142" s="3"/>
      <c r="I142" s="3"/>
      <c r="J142" s="3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 spans="3:22" ht="15.75" customHeight="1" x14ac:dyDescent="0.2">
      <c r="C143" s="4"/>
      <c r="D143" s="3"/>
      <c r="E143" s="2"/>
      <c r="F143" s="3"/>
      <c r="G143" s="3"/>
      <c r="H143" s="3"/>
      <c r="I143" s="3"/>
      <c r="J143" s="3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 spans="3:22" ht="15.75" customHeight="1" x14ac:dyDescent="0.2">
      <c r="C144" s="4"/>
      <c r="D144" s="3"/>
      <c r="E144" s="2"/>
      <c r="F144" s="3"/>
      <c r="G144" s="3"/>
      <c r="H144" s="3"/>
      <c r="I144" s="3"/>
      <c r="J144" s="3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 spans="3:22" ht="15.75" customHeight="1" x14ac:dyDescent="0.2">
      <c r="C145" s="4"/>
      <c r="D145" s="3"/>
      <c r="E145" s="2"/>
      <c r="F145" s="3"/>
      <c r="G145" s="3"/>
      <c r="H145" s="3"/>
      <c r="I145" s="3"/>
      <c r="J145" s="3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 spans="3:22" ht="15.75" customHeight="1" x14ac:dyDescent="0.2">
      <c r="C146" s="4"/>
      <c r="D146" s="3"/>
      <c r="E146" s="2"/>
      <c r="F146" s="3"/>
      <c r="G146" s="3"/>
      <c r="H146" s="3"/>
      <c r="I146" s="3"/>
      <c r="J146" s="3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 spans="3:22" ht="15.75" customHeight="1" x14ac:dyDescent="0.2">
      <c r="C147" s="4"/>
      <c r="D147" s="3"/>
      <c r="E147" s="2"/>
      <c r="F147" s="3"/>
      <c r="G147" s="3"/>
      <c r="H147" s="3"/>
      <c r="I147" s="3"/>
      <c r="J147" s="3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 spans="3:22" ht="15.75" customHeight="1" x14ac:dyDescent="0.2">
      <c r="C148" s="4"/>
      <c r="D148" s="3"/>
      <c r="E148" s="2"/>
      <c r="F148" s="3"/>
      <c r="G148" s="3"/>
      <c r="H148" s="3"/>
      <c r="I148" s="3"/>
      <c r="J148" s="3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 spans="3:22" ht="15.75" customHeight="1" x14ac:dyDescent="0.2">
      <c r="C149" s="4"/>
      <c r="D149" s="3"/>
      <c r="E149" s="2"/>
      <c r="F149" s="3"/>
      <c r="G149" s="3"/>
      <c r="H149" s="3"/>
      <c r="I149" s="3"/>
      <c r="J149" s="3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spans="3:22" ht="15.75" customHeight="1" x14ac:dyDescent="0.2">
      <c r="C150" s="4"/>
      <c r="D150" s="3"/>
      <c r="E150" s="2"/>
      <c r="F150" s="3"/>
      <c r="G150" s="3"/>
      <c r="H150" s="3"/>
      <c r="I150" s="3"/>
      <c r="J150" s="3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spans="3:22" ht="15.75" customHeight="1" x14ac:dyDescent="0.2">
      <c r="C151" s="4"/>
      <c r="D151" s="3"/>
      <c r="E151" s="2"/>
      <c r="F151" s="3"/>
      <c r="G151" s="3"/>
      <c r="H151" s="3"/>
      <c r="I151" s="3"/>
      <c r="J151" s="3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spans="3:22" ht="15.75" customHeight="1" x14ac:dyDescent="0.2">
      <c r="C152" s="4"/>
      <c r="D152" s="3"/>
      <c r="E152" s="2"/>
      <c r="F152" s="3"/>
      <c r="G152" s="3"/>
      <c r="H152" s="3"/>
      <c r="I152" s="3"/>
      <c r="J152" s="3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spans="3:22" ht="15.75" customHeight="1" x14ac:dyDescent="0.2">
      <c r="C153" s="4"/>
      <c r="D153" s="3"/>
      <c r="E153" s="2"/>
      <c r="F153" s="3"/>
      <c r="G153" s="3"/>
      <c r="H153" s="3"/>
      <c r="I153" s="3"/>
      <c r="J153" s="3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spans="3:22" ht="15.75" customHeight="1" x14ac:dyDescent="0.2">
      <c r="C154" s="4"/>
      <c r="D154" s="3"/>
      <c r="E154" s="2"/>
      <c r="F154" s="3"/>
      <c r="G154" s="3"/>
      <c r="H154" s="3"/>
      <c r="I154" s="3"/>
      <c r="J154" s="3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spans="3:22" ht="15.75" customHeight="1" x14ac:dyDescent="0.2">
      <c r="C155" s="4"/>
      <c r="D155" s="3"/>
      <c r="E155" s="2"/>
      <c r="F155" s="3"/>
      <c r="G155" s="3"/>
      <c r="H155" s="3"/>
      <c r="I155" s="3"/>
      <c r="J155" s="3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spans="3:22" ht="15.75" customHeight="1" x14ac:dyDescent="0.2">
      <c r="C156" s="4"/>
      <c r="D156" s="3"/>
      <c r="E156" s="2"/>
      <c r="F156" s="3"/>
      <c r="G156" s="3"/>
      <c r="H156" s="3"/>
      <c r="I156" s="3"/>
      <c r="J156" s="3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spans="3:22" ht="15.75" customHeight="1" x14ac:dyDescent="0.2">
      <c r="C157" s="4"/>
      <c r="D157" s="3"/>
      <c r="E157" s="2"/>
      <c r="F157" s="3"/>
      <c r="G157" s="3"/>
      <c r="H157" s="3"/>
      <c r="I157" s="3"/>
      <c r="J157" s="3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spans="3:22" ht="15.75" customHeight="1" x14ac:dyDescent="0.2">
      <c r="C158" s="4"/>
      <c r="D158" s="3"/>
      <c r="E158" s="2"/>
      <c r="F158" s="3"/>
      <c r="G158" s="3"/>
      <c r="H158" s="3"/>
      <c r="I158" s="3"/>
      <c r="J158" s="3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spans="3:22" ht="15.75" customHeight="1" x14ac:dyDescent="0.2">
      <c r="C159" s="4"/>
      <c r="D159" s="3"/>
      <c r="E159" s="2"/>
      <c r="F159" s="3"/>
      <c r="G159" s="3"/>
      <c r="H159" s="3"/>
      <c r="I159" s="3"/>
      <c r="J159" s="3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spans="3:22" ht="15.75" customHeight="1" x14ac:dyDescent="0.2">
      <c r="C160" s="4"/>
      <c r="D160" s="3"/>
      <c r="E160" s="2"/>
      <c r="F160" s="3"/>
      <c r="G160" s="3"/>
      <c r="H160" s="3"/>
      <c r="I160" s="3"/>
      <c r="J160" s="3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spans="3:22" ht="15.75" customHeight="1" x14ac:dyDescent="0.2">
      <c r="C161" s="4"/>
      <c r="D161" s="3"/>
      <c r="E161" s="2"/>
      <c r="F161" s="3"/>
      <c r="G161" s="3"/>
      <c r="H161" s="3"/>
      <c r="I161" s="3"/>
      <c r="J161" s="3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spans="3:22" ht="15.75" customHeight="1" x14ac:dyDescent="0.2">
      <c r="C162" s="4"/>
      <c r="D162" s="3"/>
      <c r="E162" s="2"/>
      <c r="F162" s="3"/>
      <c r="G162" s="3"/>
      <c r="H162" s="3"/>
      <c r="I162" s="3"/>
      <c r="J162" s="3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spans="3:22" ht="15.75" customHeight="1" x14ac:dyDescent="0.2">
      <c r="C163" s="4"/>
      <c r="D163" s="3"/>
      <c r="E163" s="2"/>
      <c r="F163" s="3"/>
      <c r="G163" s="3"/>
      <c r="H163" s="3"/>
      <c r="I163" s="3"/>
      <c r="J163" s="3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spans="3:22" ht="15.75" customHeight="1" x14ac:dyDescent="0.2">
      <c r="C164" s="4"/>
      <c r="D164" s="3"/>
      <c r="E164" s="2"/>
      <c r="F164" s="3"/>
      <c r="G164" s="3"/>
      <c r="H164" s="3"/>
      <c r="I164" s="3"/>
      <c r="J164" s="3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spans="3:22" ht="15.75" customHeight="1" x14ac:dyDescent="0.2">
      <c r="C165" s="4"/>
      <c r="D165" s="3"/>
      <c r="E165" s="2"/>
      <c r="F165" s="3"/>
      <c r="G165" s="3"/>
      <c r="H165" s="3"/>
      <c r="I165" s="3"/>
      <c r="J165" s="3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spans="3:22" ht="15.75" customHeight="1" x14ac:dyDescent="0.2">
      <c r="C166" s="4"/>
      <c r="D166" s="3"/>
      <c r="E166" s="2"/>
      <c r="F166" s="3"/>
      <c r="G166" s="3"/>
      <c r="H166" s="3"/>
      <c r="I166" s="3"/>
      <c r="J166" s="3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spans="3:22" ht="15.75" customHeight="1" x14ac:dyDescent="0.2">
      <c r="C167" s="4"/>
      <c r="D167" s="3"/>
      <c r="E167" s="2"/>
      <c r="F167" s="3"/>
      <c r="G167" s="3"/>
      <c r="H167" s="3"/>
      <c r="I167" s="3"/>
      <c r="J167" s="3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spans="3:22" ht="15.75" customHeight="1" x14ac:dyDescent="0.2">
      <c r="C168" s="4"/>
      <c r="D168" s="3"/>
      <c r="E168" s="2"/>
      <c r="F168" s="3"/>
      <c r="G168" s="3"/>
      <c r="H168" s="3"/>
      <c r="I168" s="3"/>
      <c r="J168" s="3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spans="3:22" ht="15.75" customHeight="1" x14ac:dyDescent="0.2">
      <c r="C169" s="4"/>
      <c r="D169" s="3"/>
      <c r="E169" s="2"/>
      <c r="F169" s="3"/>
      <c r="G169" s="3"/>
      <c r="H169" s="3"/>
      <c r="I169" s="3"/>
      <c r="J169" s="3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spans="3:22" ht="15.75" customHeight="1" x14ac:dyDescent="0.2">
      <c r="C170" s="4"/>
      <c r="D170" s="3"/>
      <c r="E170" s="2"/>
      <c r="F170" s="3"/>
      <c r="G170" s="3"/>
      <c r="H170" s="3"/>
      <c r="I170" s="3"/>
      <c r="J170" s="3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spans="3:22" ht="15.75" customHeight="1" x14ac:dyDescent="0.2">
      <c r="C171" s="4"/>
      <c r="D171" s="3"/>
      <c r="E171" s="2"/>
      <c r="F171" s="3"/>
      <c r="G171" s="3"/>
      <c r="H171" s="3"/>
      <c r="I171" s="3"/>
      <c r="J171" s="3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spans="3:22" ht="15.75" customHeight="1" x14ac:dyDescent="0.2">
      <c r="C172" s="4"/>
      <c r="D172" s="3"/>
      <c r="E172" s="2"/>
      <c r="F172" s="3"/>
      <c r="G172" s="3"/>
      <c r="H172" s="3"/>
      <c r="I172" s="3"/>
      <c r="J172" s="3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spans="3:22" ht="15.75" customHeight="1" x14ac:dyDescent="0.2">
      <c r="C173" s="4"/>
      <c r="D173" s="3"/>
      <c r="E173" s="2"/>
      <c r="F173" s="3"/>
      <c r="G173" s="3"/>
      <c r="H173" s="3"/>
      <c r="I173" s="3"/>
      <c r="J173" s="3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spans="3:22" ht="15.75" customHeight="1" x14ac:dyDescent="0.2">
      <c r="C174" s="4"/>
      <c r="D174" s="3"/>
      <c r="E174" s="2"/>
      <c r="F174" s="3"/>
      <c r="G174" s="3"/>
      <c r="H174" s="3"/>
      <c r="I174" s="3"/>
      <c r="J174" s="3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spans="3:22" ht="15.75" customHeight="1" x14ac:dyDescent="0.2">
      <c r="C175" s="4"/>
      <c r="D175" s="3"/>
      <c r="E175" s="2"/>
      <c r="F175" s="3"/>
      <c r="G175" s="3"/>
      <c r="H175" s="3"/>
      <c r="I175" s="3"/>
      <c r="J175" s="3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spans="3:22" ht="15.75" customHeight="1" x14ac:dyDescent="0.2">
      <c r="C176" s="4"/>
      <c r="D176" s="3"/>
      <c r="E176" s="2"/>
      <c r="F176" s="3"/>
      <c r="G176" s="3"/>
      <c r="H176" s="3"/>
      <c r="I176" s="3"/>
      <c r="J176" s="3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spans="3:22" ht="15.75" customHeight="1" x14ac:dyDescent="0.2">
      <c r="C177" s="4"/>
      <c r="D177" s="3"/>
      <c r="E177" s="2"/>
      <c r="F177" s="3"/>
      <c r="G177" s="3"/>
      <c r="H177" s="3"/>
      <c r="I177" s="3"/>
      <c r="J177" s="3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spans="3:22" ht="15.75" customHeight="1" x14ac:dyDescent="0.2">
      <c r="C178" s="4"/>
      <c r="D178" s="3"/>
      <c r="E178" s="2"/>
      <c r="F178" s="3"/>
      <c r="G178" s="3"/>
      <c r="H178" s="3"/>
      <c r="I178" s="3"/>
      <c r="J178" s="3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spans="3:22" ht="15.75" customHeight="1" x14ac:dyDescent="0.2">
      <c r="C179" s="4"/>
      <c r="D179" s="3"/>
      <c r="E179" s="2"/>
      <c r="F179" s="3"/>
      <c r="G179" s="3"/>
      <c r="H179" s="3"/>
      <c r="I179" s="3"/>
      <c r="J179" s="3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spans="3:22" ht="15.75" customHeight="1" x14ac:dyDescent="0.2">
      <c r="C180" s="4"/>
      <c r="D180" s="3"/>
      <c r="E180" s="2"/>
      <c r="F180" s="3"/>
      <c r="G180" s="3"/>
      <c r="H180" s="3"/>
      <c r="I180" s="3"/>
      <c r="J180" s="3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spans="3:22" ht="15.75" customHeight="1" x14ac:dyDescent="0.2">
      <c r="C181" s="4"/>
      <c r="D181" s="3"/>
      <c r="E181" s="2"/>
      <c r="F181" s="3"/>
      <c r="G181" s="3"/>
      <c r="H181" s="3"/>
      <c r="I181" s="3"/>
      <c r="J181" s="3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spans="3:22" ht="15.75" customHeight="1" x14ac:dyDescent="0.2">
      <c r="C182" s="4"/>
      <c r="D182" s="3"/>
      <c r="E182" s="2"/>
      <c r="F182" s="3"/>
      <c r="G182" s="3"/>
      <c r="H182" s="3"/>
      <c r="I182" s="3"/>
      <c r="J182" s="3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spans="3:22" ht="15.75" customHeight="1" x14ac:dyDescent="0.2">
      <c r="C183" s="4"/>
      <c r="D183" s="3"/>
      <c r="E183" s="2"/>
      <c r="F183" s="3"/>
      <c r="G183" s="3"/>
      <c r="H183" s="3"/>
      <c r="I183" s="3"/>
      <c r="J183" s="3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spans="3:22" ht="15.75" customHeight="1" x14ac:dyDescent="0.2">
      <c r="C184" s="4"/>
      <c r="D184" s="3"/>
      <c r="E184" s="2"/>
      <c r="F184" s="3"/>
      <c r="G184" s="3"/>
      <c r="H184" s="3"/>
      <c r="I184" s="3"/>
      <c r="J184" s="3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spans="3:22" ht="15.75" customHeight="1" x14ac:dyDescent="0.2">
      <c r="C185" s="4"/>
      <c r="D185" s="3"/>
      <c r="E185" s="2"/>
      <c r="F185" s="3"/>
      <c r="G185" s="3"/>
      <c r="H185" s="3"/>
      <c r="I185" s="3"/>
      <c r="J185" s="3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spans="3:22" ht="15.75" customHeight="1" x14ac:dyDescent="0.2">
      <c r="C186" s="4"/>
      <c r="D186" s="3"/>
      <c r="E186" s="2"/>
      <c r="F186" s="3"/>
      <c r="G186" s="3"/>
      <c r="H186" s="3"/>
      <c r="I186" s="3"/>
      <c r="J186" s="3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spans="3:22" ht="15.75" customHeight="1" x14ac:dyDescent="0.2">
      <c r="C187" s="4"/>
      <c r="D187" s="3"/>
      <c r="E187" s="2"/>
      <c r="F187" s="3"/>
      <c r="G187" s="3"/>
      <c r="H187" s="3"/>
      <c r="I187" s="3"/>
      <c r="J187" s="3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spans="3:22" ht="15.75" customHeight="1" x14ac:dyDescent="0.2">
      <c r="C188" s="4"/>
      <c r="D188" s="3"/>
      <c r="E188" s="2"/>
      <c r="F188" s="3"/>
      <c r="G188" s="3"/>
      <c r="H188" s="3"/>
      <c r="I188" s="3"/>
      <c r="J188" s="3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spans="3:22" ht="15.75" customHeight="1" x14ac:dyDescent="0.2">
      <c r="C189" s="4"/>
      <c r="D189" s="3"/>
      <c r="E189" s="2"/>
      <c r="F189" s="3"/>
      <c r="G189" s="3"/>
      <c r="H189" s="3"/>
      <c r="I189" s="3"/>
      <c r="J189" s="3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spans="3:22" ht="15.75" customHeight="1" x14ac:dyDescent="0.2">
      <c r="C190" s="4"/>
      <c r="D190" s="3"/>
      <c r="E190" s="2"/>
      <c r="F190" s="3"/>
      <c r="G190" s="3"/>
      <c r="H190" s="3"/>
      <c r="I190" s="3"/>
      <c r="J190" s="3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spans="3:22" ht="15.75" customHeight="1" x14ac:dyDescent="0.2">
      <c r="C191" s="4"/>
      <c r="D191" s="3"/>
      <c r="E191" s="2"/>
      <c r="F191" s="3"/>
      <c r="G191" s="3"/>
      <c r="H191" s="3"/>
      <c r="I191" s="3"/>
      <c r="J191" s="3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spans="3:22" ht="15.75" customHeight="1" x14ac:dyDescent="0.2">
      <c r="C192" s="4"/>
      <c r="D192" s="3"/>
      <c r="E192" s="2"/>
      <c r="F192" s="3"/>
      <c r="G192" s="3"/>
      <c r="H192" s="3"/>
      <c r="I192" s="3"/>
      <c r="J192" s="3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spans="3:22" ht="15.75" customHeight="1" x14ac:dyDescent="0.2">
      <c r="C193" s="4"/>
      <c r="D193" s="3"/>
      <c r="E193" s="2"/>
      <c r="F193" s="3"/>
      <c r="G193" s="3"/>
      <c r="H193" s="3"/>
      <c r="I193" s="3"/>
      <c r="J193" s="3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spans="3:22" ht="15.75" customHeight="1" x14ac:dyDescent="0.2">
      <c r="C194" s="4"/>
      <c r="D194" s="3"/>
      <c r="E194" s="2"/>
      <c r="F194" s="3"/>
      <c r="G194" s="3"/>
      <c r="H194" s="3"/>
      <c r="I194" s="3"/>
      <c r="J194" s="3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spans="3:22" ht="15.75" customHeight="1" x14ac:dyDescent="0.2">
      <c r="C195" s="4"/>
      <c r="D195" s="3"/>
      <c r="E195" s="2"/>
      <c r="F195" s="3"/>
      <c r="G195" s="3"/>
      <c r="H195" s="3"/>
      <c r="I195" s="3"/>
      <c r="J195" s="3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spans="3:22" ht="15.75" customHeight="1" x14ac:dyDescent="0.2">
      <c r="C196" s="4"/>
      <c r="D196" s="3"/>
      <c r="E196" s="2"/>
      <c r="F196" s="3"/>
      <c r="G196" s="3"/>
      <c r="H196" s="3"/>
      <c r="I196" s="3"/>
      <c r="J196" s="3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spans="3:22" ht="15.75" customHeight="1" x14ac:dyDescent="0.2">
      <c r="C197" s="4"/>
      <c r="D197" s="3"/>
      <c r="E197" s="2"/>
      <c r="F197" s="3"/>
      <c r="G197" s="3"/>
      <c r="H197" s="3"/>
      <c r="I197" s="3"/>
      <c r="J197" s="3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spans="3:22" ht="15.75" customHeight="1" x14ac:dyDescent="0.2">
      <c r="C198" s="4"/>
      <c r="D198" s="3"/>
      <c r="E198" s="2"/>
      <c r="F198" s="3"/>
      <c r="G198" s="3"/>
      <c r="H198" s="3"/>
      <c r="I198" s="3"/>
      <c r="J198" s="3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 spans="3:22" ht="15.75" customHeight="1" x14ac:dyDescent="0.2">
      <c r="C199" s="4"/>
      <c r="D199" s="3"/>
      <c r="E199" s="2"/>
      <c r="F199" s="3"/>
      <c r="G199" s="3"/>
      <c r="H199" s="3"/>
      <c r="I199" s="3"/>
      <c r="J199" s="3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 spans="3:22" ht="15.75" customHeight="1" x14ac:dyDescent="0.2">
      <c r="C200" s="4"/>
      <c r="D200" s="3"/>
      <c r="E200" s="2"/>
      <c r="F200" s="3"/>
      <c r="G200" s="3"/>
      <c r="H200" s="3"/>
      <c r="I200" s="3"/>
      <c r="J200" s="3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spans="3:22" ht="15.75" customHeight="1" x14ac:dyDescent="0.2">
      <c r="C201" s="4"/>
      <c r="D201" s="3"/>
      <c r="E201" s="2"/>
      <c r="F201" s="3"/>
      <c r="G201" s="3"/>
      <c r="H201" s="3"/>
      <c r="I201" s="3"/>
      <c r="J201" s="3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spans="3:22" ht="15.75" customHeight="1" x14ac:dyDescent="0.2">
      <c r="C202" s="4"/>
      <c r="D202" s="3"/>
      <c r="E202" s="2"/>
      <c r="F202" s="3"/>
      <c r="G202" s="3"/>
      <c r="H202" s="3"/>
      <c r="I202" s="3"/>
      <c r="J202" s="3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 spans="3:22" ht="15.75" customHeight="1" x14ac:dyDescent="0.2">
      <c r="C203" s="4"/>
      <c r="D203" s="3"/>
      <c r="E203" s="2"/>
      <c r="F203" s="3"/>
      <c r="G203" s="3"/>
      <c r="H203" s="3"/>
      <c r="I203" s="3"/>
      <c r="J203" s="3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spans="3:22" ht="15.75" customHeight="1" x14ac:dyDescent="0.2">
      <c r="C204" s="4"/>
      <c r="D204" s="3"/>
      <c r="E204" s="2"/>
      <c r="F204" s="3"/>
      <c r="G204" s="3"/>
      <c r="H204" s="3"/>
      <c r="I204" s="3"/>
      <c r="J204" s="3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 spans="3:22" ht="15.75" customHeight="1" x14ac:dyDescent="0.2">
      <c r="C205" s="4"/>
      <c r="D205" s="3"/>
      <c r="E205" s="2"/>
      <c r="F205" s="3"/>
      <c r="G205" s="3"/>
      <c r="H205" s="3"/>
      <c r="I205" s="3"/>
      <c r="J205" s="3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spans="3:22" ht="15.75" customHeight="1" x14ac:dyDescent="0.2">
      <c r="C206" s="4"/>
      <c r="D206" s="3"/>
      <c r="E206" s="2"/>
      <c r="F206" s="3"/>
      <c r="G206" s="3"/>
      <c r="H206" s="3"/>
      <c r="I206" s="3"/>
      <c r="J206" s="3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 spans="3:22" ht="15.75" customHeight="1" x14ac:dyDescent="0.2">
      <c r="C207" s="4"/>
      <c r="D207" s="3"/>
      <c r="E207" s="2"/>
      <c r="F207" s="3"/>
      <c r="G207" s="3"/>
      <c r="H207" s="3"/>
      <c r="I207" s="3"/>
      <c r="J207" s="3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spans="3:22" ht="15.75" customHeight="1" x14ac:dyDescent="0.2">
      <c r="C208" s="4"/>
      <c r="D208" s="3"/>
      <c r="E208" s="2"/>
      <c r="F208" s="3"/>
      <c r="G208" s="3"/>
      <c r="H208" s="3"/>
      <c r="I208" s="3"/>
      <c r="J208" s="3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spans="3:22" ht="15.75" customHeight="1" x14ac:dyDescent="0.2">
      <c r="C209" s="4"/>
      <c r="D209" s="3"/>
      <c r="E209" s="2"/>
      <c r="F209" s="3"/>
      <c r="G209" s="3"/>
      <c r="H209" s="3"/>
      <c r="I209" s="3"/>
      <c r="J209" s="3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spans="3:22" ht="15.75" customHeight="1" x14ac:dyDescent="0.2">
      <c r="C210" s="4"/>
      <c r="D210" s="3"/>
      <c r="E210" s="2"/>
      <c r="F210" s="3"/>
      <c r="G210" s="3"/>
      <c r="H210" s="3"/>
      <c r="I210" s="3"/>
      <c r="J210" s="3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spans="3:22" ht="15.75" customHeight="1" x14ac:dyDescent="0.2">
      <c r="C211" s="4"/>
      <c r="D211" s="3"/>
      <c r="E211" s="2"/>
      <c r="F211" s="3"/>
      <c r="G211" s="3"/>
      <c r="H211" s="3"/>
      <c r="I211" s="3"/>
      <c r="J211" s="3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spans="3:22" ht="15.75" customHeight="1" x14ac:dyDescent="0.2">
      <c r="C212" s="4"/>
      <c r="D212" s="3"/>
      <c r="E212" s="2"/>
      <c r="F212" s="3"/>
      <c r="G212" s="3"/>
      <c r="H212" s="3"/>
      <c r="I212" s="3"/>
      <c r="J212" s="3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spans="3:22" ht="15.75" customHeight="1" x14ac:dyDescent="0.2">
      <c r="C213" s="4"/>
      <c r="D213" s="3"/>
      <c r="E213" s="2"/>
      <c r="F213" s="3"/>
      <c r="G213" s="3"/>
      <c r="H213" s="3"/>
      <c r="I213" s="3"/>
      <c r="J213" s="3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spans="3:22" ht="15.75" customHeight="1" x14ac:dyDescent="0.2">
      <c r="C214" s="4"/>
      <c r="D214" s="3"/>
      <c r="E214" s="2"/>
      <c r="F214" s="3"/>
      <c r="G214" s="3"/>
      <c r="H214" s="3"/>
      <c r="I214" s="3"/>
      <c r="J214" s="3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spans="3:22" ht="15.75" customHeight="1" x14ac:dyDescent="0.2">
      <c r="C215" s="4"/>
      <c r="D215" s="3"/>
      <c r="E215" s="2"/>
      <c r="F215" s="3"/>
      <c r="G215" s="3"/>
      <c r="H215" s="3"/>
      <c r="I215" s="3"/>
      <c r="J215" s="3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spans="3:22" ht="15.75" customHeight="1" x14ac:dyDescent="0.2">
      <c r="C216" s="4"/>
      <c r="D216" s="3"/>
      <c r="E216" s="2"/>
      <c r="F216" s="3"/>
      <c r="G216" s="3"/>
      <c r="H216" s="3"/>
      <c r="I216" s="3"/>
      <c r="J216" s="3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spans="3:22" ht="15.75" customHeight="1" x14ac:dyDescent="0.2">
      <c r="C217" s="4"/>
      <c r="D217" s="3"/>
      <c r="E217" s="2"/>
      <c r="F217" s="3"/>
      <c r="G217" s="3"/>
      <c r="H217" s="3"/>
      <c r="I217" s="3"/>
      <c r="J217" s="3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spans="3:22" ht="15.75" customHeight="1" x14ac:dyDescent="0.2">
      <c r="C218" s="4"/>
      <c r="D218" s="3"/>
      <c r="E218" s="2"/>
      <c r="F218" s="3"/>
      <c r="G218" s="3"/>
      <c r="H218" s="3"/>
      <c r="I218" s="3"/>
      <c r="J218" s="3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spans="3:22" ht="15.75" customHeight="1" x14ac:dyDescent="0.2">
      <c r="C219" s="4"/>
      <c r="D219" s="3"/>
      <c r="E219" s="2"/>
      <c r="F219" s="3"/>
      <c r="G219" s="3"/>
      <c r="H219" s="3"/>
      <c r="I219" s="3"/>
      <c r="J219" s="3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spans="3:22" ht="15.75" customHeight="1" x14ac:dyDescent="0.2">
      <c r="C220" s="4"/>
      <c r="D220" s="3"/>
      <c r="E220" s="2"/>
      <c r="F220" s="3"/>
      <c r="G220" s="3"/>
      <c r="H220" s="3"/>
      <c r="I220" s="3"/>
      <c r="J220" s="3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spans="3:22" ht="15.75" customHeight="1" x14ac:dyDescent="0.2">
      <c r="C221" s="4"/>
      <c r="D221" s="3"/>
      <c r="E221" s="2"/>
      <c r="F221" s="3"/>
      <c r="G221" s="3"/>
      <c r="H221" s="3"/>
      <c r="I221" s="3"/>
      <c r="J221" s="3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 spans="3:22" ht="15.75" customHeight="1" x14ac:dyDescent="0.2">
      <c r="C222" s="4"/>
      <c r="D222" s="3"/>
      <c r="E222" s="2"/>
      <c r="F222" s="3"/>
      <c r="G222" s="3"/>
      <c r="H222" s="3"/>
      <c r="I222" s="3"/>
      <c r="J222" s="3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 spans="3:22" ht="15.75" customHeight="1" x14ac:dyDescent="0.2">
      <c r="C223" s="4"/>
      <c r="D223" s="3"/>
      <c r="E223" s="2"/>
      <c r="F223" s="3"/>
      <c r="G223" s="3"/>
      <c r="H223" s="3"/>
      <c r="I223" s="3"/>
      <c r="J223" s="3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 spans="3:22" ht="15.75" customHeight="1" x14ac:dyDescent="0.2">
      <c r="C224" s="4"/>
      <c r="D224" s="3"/>
      <c r="E224" s="2"/>
      <c r="F224" s="3"/>
      <c r="G224" s="3"/>
      <c r="H224" s="3"/>
      <c r="I224" s="3"/>
      <c r="J224" s="3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 spans="3:22" ht="15.75" customHeight="1" x14ac:dyDescent="0.2">
      <c r="C225" s="4"/>
      <c r="D225" s="3"/>
      <c r="E225" s="2"/>
      <c r="F225" s="3"/>
      <c r="G225" s="3"/>
      <c r="H225" s="3"/>
      <c r="I225" s="3"/>
      <c r="J225" s="3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spans="3:22" ht="15.75" customHeight="1" x14ac:dyDescent="0.2">
      <c r="C226" s="4"/>
      <c r="D226" s="3"/>
      <c r="E226" s="2"/>
      <c r="F226" s="3"/>
      <c r="G226" s="3"/>
      <c r="H226" s="3"/>
      <c r="I226" s="3"/>
      <c r="J226" s="3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spans="3:22" ht="15.75" customHeight="1" x14ac:dyDescent="0.2">
      <c r="C227" s="4"/>
      <c r="D227" s="3"/>
      <c r="E227" s="2"/>
      <c r="F227" s="3"/>
      <c r="G227" s="3"/>
      <c r="H227" s="3"/>
      <c r="I227" s="3"/>
      <c r="J227" s="3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spans="3:22" ht="15.75" customHeight="1" x14ac:dyDescent="0.2">
      <c r="C228" s="4"/>
      <c r="D228" s="3"/>
      <c r="E228" s="2"/>
      <c r="F228" s="3"/>
      <c r="G228" s="3"/>
      <c r="H228" s="3"/>
      <c r="I228" s="3"/>
      <c r="J228" s="3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 spans="3:22" ht="15.75" customHeight="1" x14ac:dyDescent="0.2">
      <c r="C229" s="4"/>
      <c r="D229" s="3"/>
      <c r="E229" s="2"/>
      <c r="F229" s="3"/>
      <c r="G229" s="3"/>
      <c r="H229" s="3"/>
      <c r="I229" s="3"/>
      <c r="J229" s="3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 spans="3:22" ht="15.75" customHeight="1" x14ac:dyDescent="0.2">
      <c r="C230" s="4"/>
      <c r="D230" s="3"/>
      <c r="E230" s="2"/>
      <c r="F230" s="3"/>
      <c r="G230" s="3"/>
      <c r="H230" s="3"/>
      <c r="I230" s="3"/>
      <c r="J230" s="3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 spans="3:22" ht="15.75" customHeight="1" x14ac:dyDescent="0.2">
      <c r="C231" s="4"/>
      <c r="D231" s="3"/>
      <c r="E231" s="2"/>
      <c r="F231" s="3"/>
      <c r="G231" s="3"/>
      <c r="H231" s="3"/>
      <c r="I231" s="3"/>
      <c r="J231" s="3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 spans="3:22" ht="15.75" customHeight="1" x14ac:dyDescent="0.2">
      <c r="C232" s="4"/>
      <c r="D232" s="3"/>
      <c r="E232" s="2"/>
      <c r="F232" s="3"/>
      <c r="G232" s="3"/>
      <c r="H232" s="3"/>
      <c r="I232" s="3"/>
      <c r="J232" s="3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spans="3:22" ht="15.75" customHeight="1" x14ac:dyDescent="0.2">
      <c r="C233" s="4"/>
      <c r="D233" s="3"/>
      <c r="E233" s="2"/>
      <c r="F233" s="3"/>
      <c r="G233" s="3"/>
      <c r="H233" s="3"/>
      <c r="I233" s="3"/>
      <c r="J233" s="3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 spans="3:22" ht="15.75" customHeight="1" x14ac:dyDescent="0.2">
      <c r="C234" s="4"/>
      <c r="D234" s="3"/>
      <c r="E234" s="2"/>
      <c r="F234" s="3"/>
      <c r="G234" s="3"/>
      <c r="H234" s="3"/>
      <c r="I234" s="3"/>
      <c r="J234" s="3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 spans="3:22" ht="15.75" customHeight="1" x14ac:dyDescent="0.2">
      <c r="C235" s="4"/>
      <c r="D235" s="3"/>
      <c r="E235" s="2"/>
      <c r="F235" s="3"/>
      <c r="G235" s="3"/>
      <c r="H235" s="3"/>
      <c r="I235" s="3"/>
      <c r="J235" s="3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 spans="3:22" ht="15.75" customHeight="1" x14ac:dyDescent="0.2">
      <c r="C236" s="4"/>
      <c r="D236" s="3"/>
      <c r="E236" s="2"/>
      <c r="F236" s="3"/>
      <c r="G236" s="3"/>
      <c r="H236" s="3"/>
      <c r="I236" s="3"/>
      <c r="J236" s="3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 spans="3:22" ht="15.75" customHeight="1" x14ac:dyDescent="0.2">
      <c r="C237" s="4"/>
      <c r="D237" s="3"/>
      <c r="E237" s="2"/>
      <c r="F237" s="3"/>
      <c r="G237" s="3"/>
      <c r="H237" s="3"/>
      <c r="I237" s="3"/>
      <c r="J237" s="3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spans="3:22" ht="15.75" customHeight="1" x14ac:dyDescent="0.2">
      <c r="C238" s="4"/>
      <c r="D238" s="3"/>
      <c r="E238" s="2"/>
      <c r="F238" s="3"/>
      <c r="G238" s="3"/>
      <c r="H238" s="3"/>
      <c r="I238" s="3"/>
      <c r="J238" s="3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 spans="3:22" ht="15.75" customHeight="1" x14ac:dyDescent="0.2">
      <c r="C239" s="4"/>
      <c r="D239" s="3"/>
      <c r="E239" s="2"/>
      <c r="F239" s="3"/>
      <c r="G239" s="3"/>
      <c r="H239" s="3"/>
      <c r="I239" s="3"/>
      <c r="J239" s="3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 spans="3:22" ht="15.75" customHeight="1" x14ac:dyDescent="0.2">
      <c r="C240" s="4"/>
      <c r="D240" s="3"/>
      <c r="E240" s="2"/>
      <c r="F240" s="3"/>
      <c r="G240" s="3"/>
      <c r="H240" s="3"/>
      <c r="I240" s="3"/>
      <c r="J240" s="3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 spans="3:22" ht="15.75" customHeight="1" x14ac:dyDescent="0.2">
      <c r="C241" s="4"/>
      <c r="D241" s="3"/>
      <c r="E241" s="2"/>
      <c r="F241" s="3"/>
      <c r="G241" s="3"/>
      <c r="H241" s="3"/>
      <c r="I241" s="3"/>
      <c r="J241" s="3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 spans="3:22" ht="15.75" customHeight="1" x14ac:dyDescent="0.2">
      <c r="C242" s="4"/>
      <c r="D242" s="3"/>
      <c r="E242" s="2"/>
      <c r="F242" s="3"/>
      <c r="G242" s="3"/>
      <c r="H242" s="3"/>
      <c r="I242" s="3"/>
      <c r="J242" s="3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 spans="3:22" ht="15.75" customHeight="1" x14ac:dyDescent="0.2">
      <c r="C243" s="4"/>
      <c r="D243" s="3"/>
      <c r="E243" s="2"/>
      <c r="F243" s="3"/>
      <c r="G243" s="3"/>
      <c r="H243" s="3"/>
      <c r="I243" s="3"/>
      <c r="J243" s="3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 spans="3:22" ht="15.75" customHeight="1" x14ac:dyDescent="0.2">
      <c r="C244" s="4"/>
      <c r="D244" s="3"/>
      <c r="E244" s="2"/>
      <c r="F244" s="3"/>
      <c r="G244" s="3"/>
      <c r="H244" s="3"/>
      <c r="I244" s="3"/>
      <c r="J244" s="3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 spans="3:22" ht="15.75" customHeight="1" x14ac:dyDescent="0.2">
      <c r="C245" s="4"/>
      <c r="D245" s="3"/>
      <c r="E245" s="2"/>
      <c r="F245" s="3"/>
      <c r="G245" s="3"/>
      <c r="H245" s="3"/>
      <c r="I245" s="3"/>
      <c r="J245" s="3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 spans="3:22" ht="15.75" customHeight="1" x14ac:dyDescent="0.2">
      <c r="C246" s="4"/>
      <c r="D246" s="3"/>
      <c r="E246" s="2"/>
      <c r="F246" s="3"/>
      <c r="G246" s="3"/>
      <c r="H246" s="3"/>
      <c r="I246" s="3"/>
      <c r="J246" s="3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 spans="3:22" ht="15.75" customHeight="1" x14ac:dyDescent="0.2">
      <c r="C247" s="4"/>
      <c r="D247" s="3"/>
      <c r="E247" s="2"/>
      <c r="F247" s="3"/>
      <c r="G247" s="3"/>
      <c r="H247" s="3"/>
      <c r="I247" s="3"/>
      <c r="J247" s="3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 spans="3:22" ht="15.75" customHeight="1" x14ac:dyDescent="0.2">
      <c r="C248" s="4"/>
      <c r="D248" s="3"/>
      <c r="E248" s="2"/>
      <c r="F248" s="3"/>
      <c r="G248" s="3"/>
      <c r="H248" s="3"/>
      <c r="I248" s="3"/>
      <c r="J248" s="3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 spans="3:22" ht="15.75" customHeight="1" x14ac:dyDescent="0.2">
      <c r="C249" s="4"/>
      <c r="D249" s="3"/>
      <c r="E249" s="2"/>
      <c r="F249" s="3"/>
      <c r="G249" s="3"/>
      <c r="H249" s="3"/>
      <c r="I249" s="3"/>
      <c r="J249" s="3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 spans="3:22" ht="15.75" customHeight="1" x14ac:dyDescent="0.2">
      <c r="C250" s="4"/>
      <c r="D250" s="3"/>
      <c r="E250" s="2"/>
      <c r="F250" s="3"/>
      <c r="G250" s="3"/>
      <c r="H250" s="3"/>
      <c r="I250" s="3"/>
      <c r="J250" s="3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 spans="3:22" ht="15.75" customHeight="1" x14ac:dyDescent="0.2">
      <c r="C251" s="4"/>
      <c r="D251" s="3"/>
      <c r="E251" s="2"/>
      <c r="F251" s="3"/>
      <c r="G251" s="3"/>
      <c r="H251" s="3"/>
      <c r="I251" s="3"/>
      <c r="J251" s="3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 spans="3:22" ht="15.75" customHeight="1" x14ac:dyDescent="0.2">
      <c r="C252" s="4"/>
      <c r="D252" s="3"/>
      <c r="E252" s="2"/>
      <c r="F252" s="3"/>
      <c r="G252" s="3"/>
      <c r="H252" s="3"/>
      <c r="I252" s="3"/>
      <c r="J252" s="3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 spans="3:22" ht="15.75" customHeight="1" x14ac:dyDescent="0.2"/>
    <row r="254" spans="3:22" ht="15.75" customHeight="1" x14ac:dyDescent="0.2"/>
    <row r="255" spans="3:22" ht="15.75" customHeight="1" x14ac:dyDescent="0.2"/>
    <row r="256" spans="3:22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1:J53" xr:uid="{00000000-0001-0000-0100-000000000000}"/>
  <phoneticPr fontId="6" type="noConversion"/>
  <printOptions horizontalCentered="1" gridLines="1"/>
  <pageMargins left="0.25" right="0.25" top="0.19685039370078738" bottom="0.11811023622047244" header="0" footer="0"/>
  <pageSetup paperSize="9" fitToHeight="0" pageOrder="overThenDown" orientation="landscape" cellComments="atEnd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EE74678CDAA749BF87014A2B4560BF" ma:contentTypeVersion="16" ma:contentTypeDescription="Create a new document." ma:contentTypeScope="" ma:versionID="d027820d0036d222697a6ff7b3f5c47a">
  <xsd:schema xmlns:xsd="http://www.w3.org/2001/XMLSchema" xmlns:xs="http://www.w3.org/2001/XMLSchema" xmlns:p="http://schemas.microsoft.com/office/2006/metadata/properties" xmlns:ns2="31067d2d-e48e-4508-aa64-80d1f142e7dc" xmlns:ns3="ee1a5240-fbb3-422c-a5c8-d7a8e3758d68" targetNamespace="http://schemas.microsoft.com/office/2006/metadata/properties" ma:root="true" ma:fieldsID="a4c4f1818ba5fd5562b618916876c884" ns2:_="" ns3:_="">
    <xsd:import namespace="31067d2d-e48e-4508-aa64-80d1f142e7dc"/>
    <xsd:import namespace="ee1a5240-fbb3-422c-a5c8-d7a8e3758d6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  <xsd:element ref="ns2:Status" minOccurs="0"/>
                <xsd:element ref="ns2:AUL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067d2d-e48e-4508-aa64-80d1f142e7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dab9438-f903-450b-a158-c86bb4a35df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Status" ma:index="22" nillable="true" ma:displayName="Status " ma:format="Dropdown" ma:internalName="Status">
      <xsd:simpleType>
        <xsd:restriction base="dms:Choice">
          <xsd:enumeration value="Aberto "/>
          <xsd:enumeration value="2º semestre"/>
          <xsd:enumeration value="2º semestre "/>
        </xsd:restriction>
      </xsd:simpleType>
    </xsd:element>
    <xsd:element name="AULA" ma:index="23" nillable="true" ma:displayName="AULA" ma:format="Dropdown" ma:internalName="AULA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1a5240-fbb3-422c-a5c8-d7a8e3758d6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a574430-d1ae-4d86-99fa-422eed317918}" ma:internalName="TaxCatchAll" ma:showField="CatchAllData" ma:web="ee1a5240-fbb3-422c-a5c8-d7a8e3758d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1067d2d-e48e-4508-aa64-80d1f142e7dc">
      <Terms xmlns="http://schemas.microsoft.com/office/infopath/2007/PartnerControls"/>
    </lcf76f155ced4ddcb4097134ff3c332f>
    <TaxCatchAll xmlns="ee1a5240-fbb3-422c-a5c8-d7a8e3758d68" xsi:nil="true"/>
    <Status xmlns="31067d2d-e48e-4508-aa64-80d1f142e7dc" xsi:nil="true"/>
    <AULA xmlns="31067d2d-e48e-4508-aa64-80d1f142e7dc" xsi:nil="true"/>
  </documentManagement>
</p:properties>
</file>

<file path=customXml/itemProps1.xml><?xml version="1.0" encoding="utf-8"?>
<ds:datastoreItem xmlns:ds="http://schemas.openxmlformats.org/officeDocument/2006/customXml" ds:itemID="{F1C88677-4A18-48E3-82F8-2960B117C4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067d2d-e48e-4508-aa64-80d1f142e7dc"/>
    <ds:schemaRef ds:uri="ee1a5240-fbb3-422c-a5c8-d7a8e3758d6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8BF7EAA-9A79-41CF-B8A6-A283D90A8B7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18474BE-523A-4CDB-A239-24349A4E0812}">
  <ds:schemaRefs>
    <ds:schemaRef ds:uri="http://schemas.microsoft.com/office/2006/metadata/properties"/>
    <ds:schemaRef ds:uri="http://schemas.microsoft.com/office/infopath/2007/PartnerControls"/>
    <ds:schemaRef ds:uri="31067d2d-e48e-4508-aa64-80d1f142e7dc"/>
    <ds:schemaRef ds:uri="ee1a5240-fbb3-422c-a5c8-d7a8e3758d6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Indicadores de desempenho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Daniela Vanessa Rodriguez Lara</cp:lastModifiedBy>
  <cp:revision/>
  <dcterms:created xsi:type="dcterms:W3CDTF">2026-03-09T17:50:36Z</dcterms:created>
  <dcterms:modified xsi:type="dcterms:W3CDTF">2026-07-23T18:48:30Z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0x010100E7EE74678CDAA749BF87014A2B4560BF</vt:lpwstr>
  </property>
  <property fmtid="{D5CDD505-2E9C-101B-9397-08002B2CF9AE}" pid="3" name="MediaServiceImageTags">
    <vt:lpwstr/>
  </property>
</Properties>
</file>